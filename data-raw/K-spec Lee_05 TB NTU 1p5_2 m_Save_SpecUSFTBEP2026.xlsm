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embeddings/oleObject2.bin" ContentType="application/vnd.openxmlformats-officedocument.oleObject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Janicki\Janicki\USF-TBEP_WaterAtlasRealTime\Gallegos Optical Model\"/>
    </mc:Choice>
  </mc:AlternateContent>
  <xr:revisionPtr revIDLastSave="0" documentId="8_{8CED04CF-D1FB-42FE-B45E-BF06CC61DFA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Output" sheetId="11" r:id="rId1"/>
    <sheet name="Batch data" sheetId="10" r:id="rId2"/>
    <sheet name="WQ Input" sheetId="3" r:id="rId3"/>
    <sheet name="Parameters" sheetId="2" r:id="rId4"/>
    <sheet name="Graphs" sheetId="9" r:id="rId5"/>
    <sheet name="CB_DATA_" sheetId="12" state="veryHidden" r:id="rId6"/>
    <sheet name="Spectra" sheetId="1" r:id="rId7"/>
    <sheet name="Sun" sheetId="4" r:id="rId8"/>
    <sheet name="bnorm" sheetId="6" r:id="rId9"/>
    <sheet name="Phi calc" sheetId="5" r:id="rId10"/>
    <sheet name="bbpnorm" sheetId="8" r:id="rId11"/>
  </sheets>
  <definedNames>
    <definedName name="acdom">Spectra!$D$2:$D$65</definedName>
    <definedName name="adetr">Spectra!$F$2:$F$65</definedName>
    <definedName name="alpha">Spectra!$L$2:$L$65</definedName>
    <definedName name="apexp">Parameters!$E$11</definedName>
    <definedName name="aphyto">Spectra!$E$2:$E$65</definedName>
    <definedName name="astarmin440">Parameters!$B$11</definedName>
    <definedName name="astarminlw">Parameters!$B$17</definedName>
    <definedName name="atotal">Spectra!$G$2:$G$65</definedName>
    <definedName name="aw">Spectra!$B$2:$B$65</definedName>
    <definedName name="bb2b">Parameters!$B$15</definedName>
    <definedName name="BBnorm">bbpnorm!$D$2:$D$65</definedName>
    <definedName name="bbp">Spectra!$I$2:$I$65</definedName>
    <definedName name="bpexp">Parameters!$E$12</definedName>
    <definedName name="bphin">bnorm!$B$2:$B$66</definedName>
    <definedName name="bpstar555">Parameters!$B$12</definedName>
    <definedName name="btotal">Spectra!$H$2:$H$65</definedName>
    <definedName name="bw">Spectra!$C$2:$C$65</definedName>
    <definedName name="CB_0682d732ea3f427e91e1e0ae3d7b4249" localSheetId="2" hidden="1">'WQ Input'!$J$6</definedName>
    <definedName name="CB_148c55f4c12942a89344d079e4c65bf1" localSheetId="2" hidden="1">'WQ Input'!$G$2</definedName>
    <definedName name="CB_15b46affb5614339913e6bf1006dac47" localSheetId="2" hidden="1">'WQ Input'!$K$9</definedName>
    <definedName name="CB_19c9883309894737b98b286ba26cc8ff" localSheetId="2" hidden="1">'WQ Input'!$H$2</definedName>
    <definedName name="CB_898935a600b24ad4a3fae1c3680a38b0" localSheetId="2" hidden="1">'WQ Input'!$M$9</definedName>
    <definedName name="CB_983e5bb8bfe24bc4b24aaac84ad70409" localSheetId="2" hidden="1">'WQ Input'!$I$2</definedName>
    <definedName name="CB_c6e900cdb45b42b89ab05a72a4b80558" localSheetId="2" hidden="1">'WQ Input'!$I$9</definedName>
    <definedName name="CB_ceb40c470d3c461b9bd3f1ed0890815d" localSheetId="2" hidden="1">'WQ Input'!$K$6</definedName>
    <definedName name="CB_ea1d56efebed4468b973bde82c7f3ace" localSheetId="2" hidden="1">'WQ Input'!$J$9</definedName>
    <definedName name="CB_f2525eda4bf949059314b0182af1d1c0" localSheetId="2" hidden="1">'WQ Input'!$L$9</definedName>
    <definedName name="CB_fc73dde09bb243f999c3539b755d656b" localSheetId="2" hidden="1">'WQ Input'!$H$9</definedName>
    <definedName name="CBWorkbookPriority" localSheetId="5" hidden="1">-1084376025</definedName>
    <definedName name="CBx_d6d9694a79fd4e07b6ea44addd3a6de3" localSheetId="5" hidden="1">"'CB_DATA_'!$A$1"</definedName>
    <definedName name="CBx_e768d7499be7403e83d1405d02e68bfc" localSheetId="5" hidden="1">"'WQ Input'!$A$1"</definedName>
    <definedName name="CBx_f09535a9bca849e6a206b08bd0fe64e0" localSheetId="5" hidden="1">"'Spectra'!$A$1"</definedName>
    <definedName name="CBx_Sheet_Guid" localSheetId="5" hidden="1">"'d6d9694a-79fd-4e07-b6ea-44addd3a6de3"</definedName>
    <definedName name="CBx_Sheet_Guid" localSheetId="6" hidden="1">"'f09535a9-bca8-49e6-a206-b08bd0fe64e0"</definedName>
    <definedName name="CBx_Sheet_Guid" localSheetId="2" hidden="1">"'e768d749-9be7-403e-83d1-405d02e68bfc"</definedName>
    <definedName name="CDOM440">'WQ Input'!$G$2</definedName>
    <definedName name="CHLA">'WQ Input'!$H$2</definedName>
    <definedName name="chlexp">Parameters!$E$4</definedName>
    <definedName name="cphistar">Parameters!$B$14</definedName>
    <definedName name="Day">'WQ Input'!$D$2</definedName>
    <definedName name="DecTime">'WQ Input'!$E$2</definedName>
    <definedName name="E0">Spectra!$O$2:$O$62</definedName>
    <definedName name="E0PAR">Spectra!$O$68</definedName>
    <definedName name="EPARz">Spectra!$P$68</definedName>
    <definedName name="eta">Parameters!$B$13</definedName>
    <definedName name="Flin">Parameters!$B$16</definedName>
    <definedName name="g_1">#REF!</definedName>
    <definedName name="g_2">#REF!</definedName>
    <definedName name="gamma">Parameters!$B$18</definedName>
    <definedName name="Gmu0">#REF!</definedName>
    <definedName name="Kd">Spectra!$J$2:$J$65</definedName>
    <definedName name="KdPAR">'WQ Input'!$J$2</definedName>
    <definedName name="KdSD">'WQ Input'!$L$2</definedName>
    <definedName name="Lambda">Spectra!$A$2:$A$65</definedName>
    <definedName name="Latitude">Parameters!$B$2</definedName>
    <definedName name="Lee_g0">Parameters!$B$24</definedName>
    <definedName name="Lee_g1">Parameters!$B$25</definedName>
    <definedName name="Longitude">Parameters!$B$3</definedName>
    <definedName name="Mon">'WQ Input'!$C$2</definedName>
    <definedName name="mu0">Sun!$N$2</definedName>
    <definedName name="mus">#REF!</definedName>
    <definedName name="Phi_PC1">Parameters!$B$5</definedName>
    <definedName name="Phi_PC2">Parameters!$B$6</definedName>
    <definedName name="Phi_PC3">Parameters!$B$7</definedName>
    <definedName name="Phinorm">'Phi calc'!$K$2:$K$65</definedName>
    <definedName name="phistar676">Parameters!$B$4</definedName>
    <definedName name="rho">Parameters!$B$26</definedName>
    <definedName name="rrs">Spectra!$M$2:$M$65</definedName>
    <definedName name="sCDOM">Parameters!$B$8</definedName>
    <definedName name="sNAP">Parameters!$B$9</definedName>
    <definedName name="solver_adj" localSheetId="3" hidden="1">Parameters!$B$11:$B$12</definedName>
    <definedName name="solver_cvg" localSheetId="3" hidden="1">0.0001</definedName>
    <definedName name="solver_drv" localSheetId="3" hidden="1">1</definedName>
    <definedName name="solver_est" localSheetId="3" hidden="1">1</definedName>
    <definedName name="solver_itr" localSheetId="3" hidden="1">100</definedName>
    <definedName name="solver_lin" localSheetId="3" hidden="1">2</definedName>
    <definedName name="solver_neg" localSheetId="3" hidden="1">2</definedName>
    <definedName name="solver_num" localSheetId="3" hidden="1">0</definedName>
    <definedName name="solver_nwt" localSheetId="3" hidden="1">1</definedName>
    <definedName name="solver_opt" localSheetId="3" hidden="1">Parameters!$E$23</definedName>
    <definedName name="solver_pre" localSheetId="3" hidden="1">0.000001</definedName>
    <definedName name="solver_scl" localSheetId="3" hidden="1">2</definedName>
    <definedName name="solver_sho" localSheetId="3" hidden="1">2</definedName>
    <definedName name="solver_tim" localSheetId="3" hidden="1">100</definedName>
    <definedName name="solver_tol" localSheetId="3" hidden="1">0.05</definedName>
    <definedName name="solver_typ" localSheetId="3" hidden="1">2</definedName>
    <definedName name="solver_val" localSheetId="3" hidden="1">0</definedName>
    <definedName name="Theta0">Sun!$N$12</definedName>
    <definedName name="TSS">'WQ Input'!$I$2</definedName>
    <definedName name="u">Spectra!$K$2:$K$65</definedName>
    <definedName name="Year">'WQ Input'!$B$2</definedName>
    <definedName name="z">'WQ Input'!$F$2</definedName>
    <definedName name="ZSD">'WQ Input'!$K$2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2" l="1"/>
  <c r="F2" i="1" s="1" a="1"/>
  <c r="F50" i="1" s="1"/>
  <c r="M2" i="4"/>
  <c r="M3" i="4"/>
  <c r="M4" i="4"/>
  <c r="D5" i="4"/>
  <c r="D6" i="4" s="1"/>
  <c r="O68" i="1"/>
  <c r="G1" i="4"/>
  <c r="F2" i="6"/>
  <c r="G2" i="6"/>
  <c r="H2" i="6"/>
  <c r="F3" i="6"/>
  <c r="G3" i="6"/>
  <c r="H3" i="6"/>
  <c r="F4" i="6"/>
  <c r="G4" i="6"/>
  <c r="H4" i="6"/>
  <c r="F5" i="6"/>
  <c r="G5" i="6"/>
  <c r="H5" i="6"/>
  <c r="F6" i="6"/>
  <c r="G6" i="6"/>
  <c r="H6" i="6"/>
  <c r="F7" i="6"/>
  <c r="G7" i="6"/>
  <c r="H7" i="6"/>
  <c r="F8" i="6"/>
  <c r="G8" i="6"/>
  <c r="H8" i="6"/>
  <c r="F9" i="6"/>
  <c r="G9" i="6"/>
  <c r="H9" i="6"/>
  <c r="F10" i="6"/>
  <c r="G10" i="6"/>
  <c r="H10" i="6"/>
  <c r="A3" i="5"/>
  <c r="B3" i="5"/>
  <c r="C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K65" i="5"/>
  <c r="X65" i="5"/>
  <c r="X66" i="5"/>
  <c r="X67" i="5"/>
  <c r="X68" i="5"/>
  <c r="X69" i="5"/>
  <c r="X70" i="5"/>
  <c r="X71" i="5"/>
  <c r="X72" i="5"/>
  <c r="X73" i="5"/>
  <c r="E74" i="5"/>
  <c r="X74" i="5"/>
  <c r="E75" i="5"/>
  <c r="X75" i="5"/>
  <c r="E76" i="5"/>
  <c r="X76" i="5"/>
  <c r="A2" i="8" a="1"/>
  <c r="A15" i="8" s="1"/>
  <c r="B15" i="8" s="1"/>
  <c r="J2" i="8"/>
  <c r="M2" i="8"/>
  <c r="J3" i="8"/>
  <c r="K3" i="8"/>
  <c r="M3" i="8"/>
  <c r="J4" i="8"/>
  <c r="K4" i="8" s="1"/>
  <c r="M4" i="8"/>
  <c r="J5" i="8"/>
  <c r="K5" i="8" s="1"/>
  <c r="M5" i="8"/>
  <c r="J6" i="8"/>
  <c r="K6" i="8" s="1"/>
  <c r="M6" i="8"/>
  <c r="D32" i="1"/>
  <c r="D3" i="1"/>
  <c r="D7" i="1"/>
  <c r="D11" i="1"/>
  <c r="D15" i="1"/>
  <c r="D19" i="1"/>
  <c r="D23" i="1"/>
  <c r="D27" i="1"/>
  <c r="D31" i="1"/>
  <c r="D36" i="1"/>
  <c r="D40" i="1"/>
  <c r="D44" i="1"/>
  <c r="D48" i="1"/>
  <c r="D52" i="1"/>
  <c r="D56" i="1"/>
  <c r="D60" i="1"/>
  <c r="D64" i="1"/>
  <c r="D2" i="1"/>
  <c r="D6" i="1"/>
  <c r="D10" i="1"/>
  <c r="D14" i="1"/>
  <c r="D18" i="1"/>
  <c r="D22" i="1"/>
  <c r="D26" i="1"/>
  <c r="D30" i="1"/>
  <c r="D35" i="1"/>
  <c r="D39" i="1"/>
  <c r="D43" i="1"/>
  <c r="D47" i="1"/>
  <c r="D51" i="1"/>
  <c r="D55" i="1"/>
  <c r="D59" i="1"/>
  <c r="D63" i="1"/>
  <c r="D5" i="1"/>
  <c r="D9" i="1"/>
  <c r="D13" i="1"/>
  <c r="D17" i="1"/>
  <c r="D21" i="1"/>
  <c r="D25" i="1"/>
  <c r="D29" i="1"/>
  <c r="D34" i="1"/>
  <c r="D38" i="1"/>
  <c r="D42" i="1"/>
  <c r="D46" i="1"/>
  <c r="D50" i="1"/>
  <c r="D54" i="1"/>
  <c r="D58" i="1"/>
  <c r="D62" i="1"/>
  <c r="D4" i="1"/>
  <c r="D8" i="1"/>
  <c r="D12" i="1"/>
  <c r="D16" i="1"/>
  <c r="D20" i="1"/>
  <c r="D24" i="1"/>
  <c r="D28" i="1"/>
  <c r="D33" i="1"/>
  <c r="D37" i="1"/>
  <c r="D41" i="1"/>
  <c r="D45" i="1"/>
  <c r="D49" i="1"/>
  <c r="D53" i="1"/>
  <c r="D57" i="1"/>
  <c r="D61" i="1"/>
  <c r="D65" i="1"/>
  <c r="P2" i="12"/>
  <c r="K1" i="6" l="1" a="1"/>
  <c r="K2" i="6" s="1"/>
  <c r="F20" i="1"/>
  <c r="F30" i="1"/>
  <c r="F61" i="1"/>
  <c r="F8" i="1"/>
  <c r="F27" i="1"/>
  <c r="F40" i="1"/>
  <c r="F62" i="1"/>
  <c r="F38" i="1"/>
  <c r="F51" i="1"/>
  <c r="F2" i="1"/>
  <c r="F34" i="1"/>
  <c r="F23" i="1"/>
  <c r="F22" i="1"/>
  <c r="F64" i="1"/>
  <c r="F49" i="1"/>
  <c r="F53" i="1"/>
  <c r="F7" i="1"/>
  <c r="F16" i="1"/>
  <c r="F54" i="1"/>
  <c r="F18" i="1"/>
  <c r="F59" i="1"/>
  <c r="F43" i="1"/>
  <c r="F45" i="1"/>
  <c r="F15" i="1"/>
  <c r="F42" i="1"/>
  <c r="F41" i="1"/>
  <c r="F21" i="1"/>
  <c r="F19" i="1"/>
  <c r="F9" i="1"/>
  <c r="F24" i="1"/>
  <c r="F25" i="1"/>
  <c r="F5" i="1"/>
  <c r="F29" i="1"/>
  <c r="F46" i="1"/>
  <c r="F55" i="1"/>
  <c r="F37" i="1"/>
  <c r="F6" i="1"/>
  <c r="F14" i="1"/>
  <c r="F10" i="1"/>
  <c r="F13" i="1"/>
  <c r="F60" i="1"/>
  <c r="F39" i="1"/>
  <c r="F31" i="1"/>
  <c r="F4" i="1"/>
  <c r="F52" i="1"/>
  <c r="F32" i="1"/>
  <c r="F3" i="1"/>
  <c r="F47" i="1"/>
  <c r="F12" i="1"/>
  <c r="F57" i="1"/>
  <c r="F17" i="1"/>
  <c r="A2" i="8"/>
  <c r="B2" i="8" s="1"/>
  <c r="A14" i="8"/>
  <c r="B14" i="8" s="1"/>
  <c r="A56" i="8"/>
  <c r="B56" i="8" s="1"/>
  <c r="A61" i="8"/>
  <c r="B61" i="8" s="1"/>
  <c r="A53" i="8"/>
  <c r="B53" i="8" s="1"/>
  <c r="A45" i="8"/>
  <c r="B45" i="8" s="1"/>
  <c r="A37" i="8"/>
  <c r="B37" i="8" s="1"/>
  <c r="A31" i="8"/>
  <c r="B31" i="8" s="1"/>
  <c r="A27" i="8"/>
  <c r="B27" i="8" s="1"/>
  <c r="A21" i="8"/>
  <c r="B21" i="8" s="1"/>
  <c r="A17" i="8"/>
  <c r="B17" i="8" s="1"/>
  <c r="A41" i="8"/>
  <c r="B41" i="8" s="1"/>
  <c r="A65" i="8"/>
  <c r="B65" i="8" s="1"/>
  <c r="A50" i="8"/>
  <c r="B50" i="8" s="1"/>
  <c r="A8" i="8"/>
  <c r="B8" i="8" s="1"/>
  <c r="A39" i="8"/>
  <c r="B39" i="8" s="1"/>
  <c r="A64" i="8"/>
  <c r="B64" i="8" s="1"/>
  <c r="A32" i="8"/>
  <c r="B32" i="8" s="1"/>
  <c r="A5" i="8"/>
  <c r="B5" i="8" s="1"/>
  <c r="A26" i="8"/>
  <c r="B26" i="8" s="1"/>
  <c r="A46" i="8"/>
  <c r="B46" i="8" s="1"/>
  <c r="A43" i="8"/>
  <c r="B43" i="8" s="1"/>
  <c r="A19" i="8"/>
  <c r="B19" i="8" s="1"/>
  <c r="A13" i="8"/>
  <c r="B13" i="8" s="1"/>
  <c r="A7" i="8"/>
  <c r="B7" i="8" s="1"/>
  <c r="A34" i="8"/>
  <c r="B34" i="8" s="1"/>
  <c r="A18" i="8"/>
  <c r="B18" i="8" s="1"/>
  <c r="A55" i="8"/>
  <c r="B55" i="8" s="1"/>
  <c r="A42" i="8"/>
  <c r="B42" i="8" s="1"/>
  <c r="A4" i="8"/>
  <c r="B4" i="8" s="1"/>
  <c r="A48" i="8"/>
  <c r="B48" i="8" s="1"/>
  <c r="A36" i="8"/>
  <c r="B36" i="8" s="1"/>
  <c r="A29" i="8"/>
  <c r="B29" i="8" s="1"/>
  <c r="A11" i="8"/>
  <c r="B11" i="8" s="1"/>
  <c r="A3" i="8"/>
  <c r="B3" i="8" s="1"/>
  <c r="A24" i="8"/>
  <c r="B24" i="8" s="1"/>
  <c r="A33" i="8"/>
  <c r="B33" i="8" s="1"/>
  <c r="A62" i="8"/>
  <c r="B62" i="8" s="1"/>
  <c r="A47" i="8"/>
  <c r="B47" i="8" s="1"/>
  <c r="A60" i="8"/>
  <c r="B60" i="8" s="1"/>
  <c r="A20" i="8"/>
  <c r="B20" i="8" s="1"/>
  <c r="A59" i="8"/>
  <c r="B59" i="8" s="1"/>
  <c r="A23" i="8"/>
  <c r="B23" i="8" s="1"/>
  <c r="A54" i="8"/>
  <c r="B54" i="8" s="1"/>
  <c r="A16" i="8"/>
  <c r="B16" i="8" s="1"/>
  <c r="A28" i="8"/>
  <c r="B28" i="8" s="1"/>
  <c r="A25" i="8"/>
  <c r="B25" i="8" s="1"/>
  <c r="A9" i="8"/>
  <c r="B9" i="8" s="1"/>
  <c r="A57" i="8"/>
  <c r="B57" i="8" s="1"/>
  <c r="A10" i="8"/>
  <c r="B10" i="8" s="1"/>
  <c r="A12" i="8"/>
  <c r="B12" i="8" s="1"/>
  <c r="A51" i="8"/>
  <c r="B51" i="8" s="1"/>
  <c r="A49" i="8"/>
  <c r="B49" i="8" s="1"/>
  <c r="A22" i="8"/>
  <c r="B22" i="8" s="1"/>
  <c r="A44" i="8"/>
  <c r="B44" i="8" s="1"/>
  <c r="A35" i="8"/>
  <c r="B35" i="8" s="1"/>
  <c r="A63" i="8"/>
  <c r="B63" i="8" s="1"/>
  <c r="A6" i="8"/>
  <c r="B6" i="8" s="1"/>
  <c r="A30" i="8"/>
  <c r="B30" i="8" s="1"/>
  <c r="A38" i="8"/>
  <c r="B38" i="8" s="1"/>
  <c r="A52" i="8"/>
  <c r="B52" i="8" s="1"/>
  <c r="A58" i="8"/>
  <c r="B58" i="8" s="1"/>
  <c r="A40" i="8"/>
  <c r="B40" i="8" s="1"/>
  <c r="L2" i="6"/>
  <c r="M2" i="6"/>
  <c r="O4" i="6"/>
  <c r="N4" i="6"/>
  <c r="M5" i="4"/>
  <c r="O2" i="4"/>
  <c r="F36" i="1"/>
  <c r="F48" i="1"/>
  <c r="F33" i="1"/>
  <c r="F44" i="1"/>
  <c r="K2" i="8"/>
  <c r="F2" i="8" s="1" a="1"/>
  <c r="G3" i="5" a="1"/>
  <c r="F35" i="1"/>
  <c r="F58" i="1"/>
  <c r="F65" i="1"/>
  <c r="F11" i="1"/>
  <c r="F26" i="1"/>
  <c r="F56" i="1"/>
  <c r="F63" i="1"/>
  <c r="F28" i="1"/>
  <c r="M3" i="6" l="1"/>
  <c r="N1" i="6"/>
  <c r="O1" i="6"/>
  <c r="O2" i="6"/>
  <c r="K3" i="6"/>
  <c r="L4" i="6"/>
  <c r="N3" i="6"/>
  <c r="K1" i="6"/>
  <c r="B14" i="6" s="1"/>
  <c r="H14" i="1" s="1"/>
  <c r="M1" i="6"/>
  <c r="M4" i="6"/>
  <c r="K4" i="6"/>
  <c r="N2" i="6"/>
  <c r="L1" i="6"/>
  <c r="B12" i="6" s="1"/>
  <c r="H12" i="1" s="1"/>
  <c r="L3" i="6"/>
  <c r="O3" i="6"/>
  <c r="G2" i="8"/>
  <c r="H2" i="8"/>
  <c r="H4" i="8"/>
  <c r="G4" i="8"/>
  <c r="F4" i="8"/>
  <c r="F2" i="8"/>
  <c r="H3" i="8"/>
  <c r="F3" i="8"/>
  <c r="H5" i="8"/>
  <c r="F5" i="8"/>
  <c r="G3" i="8"/>
  <c r="G5" i="8"/>
  <c r="I9" i="4"/>
  <c r="J9" i="4" s="1"/>
  <c r="K9" i="4" s="1"/>
  <c r="F9" i="4" s="1"/>
  <c r="G9" i="4" s="1"/>
  <c r="H9" i="4"/>
  <c r="L9" i="4" s="1"/>
  <c r="B2" i="6"/>
  <c r="B6" i="6"/>
  <c r="H6" i="1" s="1"/>
  <c r="B10" i="6"/>
  <c r="H10" i="1" s="1"/>
  <c r="B38" i="6"/>
  <c r="H38" i="1" s="1"/>
  <c r="J4" i="6"/>
  <c r="B3" i="6"/>
  <c r="H3" i="1" s="1"/>
  <c r="B4" i="6"/>
  <c r="H4" i="1" s="1"/>
  <c r="B11" i="6"/>
  <c r="H11" i="1" s="1"/>
  <c r="B17" i="6"/>
  <c r="H17" i="1" s="1"/>
  <c r="B52" i="6"/>
  <c r="H52" i="1" s="1"/>
  <c r="B60" i="6"/>
  <c r="H60" i="1" s="1"/>
  <c r="J8" i="6"/>
  <c r="B63" i="6"/>
  <c r="H63" i="1" s="1"/>
  <c r="B44" i="6"/>
  <c r="H44" i="1" s="1"/>
  <c r="B36" i="6"/>
  <c r="H36" i="1" s="1"/>
  <c r="B5" i="6"/>
  <c r="H5" i="1" s="1"/>
  <c r="I3" i="5"/>
  <c r="G3" i="5"/>
  <c r="H3" i="5"/>
  <c r="B45" i="6" l="1"/>
  <c r="H45" i="1" s="1"/>
  <c r="B34" i="6"/>
  <c r="H34" i="1" s="1"/>
  <c r="J3" i="6"/>
  <c r="B39" i="6"/>
  <c r="H39" i="1" s="1"/>
  <c r="B62" i="6"/>
  <c r="H62" i="1" s="1"/>
  <c r="B58" i="6"/>
  <c r="H58" i="1" s="1"/>
  <c r="B32" i="6"/>
  <c r="H32" i="1" s="1"/>
  <c r="B7" i="6"/>
  <c r="H7" i="1" s="1"/>
  <c r="J7" i="6"/>
  <c r="J6" i="6"/>
  <c r="B16" i="6"/>
  <c r="H16" i="1" s="1"/>
  <c r="B50" i="6"/>
  <c r="H50" i="1" s="1"/>
  <c r="B57" i="6"/>
  <c r="H57" i="1" s="1"/>
  <c r="J10" i="6"/>
  <c r="B26" i="6"/>
  <c r="H26" i="1" s="1"/>
  <c r="B33" i="6"/>
  <c r="H33" i="1" s="1"/>
  <c r="B54" i="6"/>
  <c r="H54" i="1" s="1"/>
  <c r="B49" i="6"/>
  <c r="H49" i="1" s="1"/>
  <c r="B27" i="6"/>
  <c r="H27" i="1" s="1"/>
  <c r="B9" i="6"/>
  <c r="H9" i="1" s="1"/>
  <c r="B53" i="6"/>
  <c r="H53" i="1" s="1"/>
  <c r="J5" i="6"/>
  <c r="B48" i="6"/>
  <c r="H48" i="1" s="1"/>
  <c r="B43" i="6"/>
  <c r="H43" i="1" s="1"/>
  <c r="B21" i="6"/>
  <c r="H21" i="1" s="1"/>
  <c r="B61" i="6"/>
  <c r="H61" i="1" s="1"/>
  <c r="B30" i="6"/>
  <c r="H30" i="1" s="1"/>
  <c r="B56" i="6"/>
  <c r="H56" i="1" s="1"/>
  <c r="B55" i="6"/>
  <c r="H55" i="1" s="1"/>
  <c r="B20" i="6"/>
  <c r="H20" i="1" s="1"/>
  <c r="B19" i="6"/>
  <c r="H19" i="1" s="1"/>
  <c r="B35" i="6"/>
  <c r="H35" i="1" s="1"/>
  <c r="B40" i="6"/>
  <c r="H40" i="1" s="1"/>
  <c r="B13" i="6"/>
  <c r="H13" i="1" s="1"/>
  <c r="B18" i="6"/>
  <c r="H18" i="1" s="1"/>
  <c r="B31" i="6"/>
  <c r="H31" i="1" s="1"/>
  <c r="B23" i="6"/>
  <c r="H23" i="1" s="1"/>
  <c r="B64" i="6"/>
  <c r="H64" i="1" s="1"/>
  <c r="B59" i="6"/>
  <c r="H59" i="1" s="1"/>
  <c r="J2" i="6"/>
  <c r="B46" i="6"/>
  <c r="H46" i="1" s="1"/>
  <c r="B65" i="6"/>
  <c r="H65" i="1" s="1"/>
  <c r="B42" i="6"/>
  <c r="H42" i="1" s="1"/>
  <c r="B51" i="6"/>
  <c r="H51" i="1" s="1"/>
  <c r="B29" i="6"/>
  <c r="H29" i="1" s="1"/>
  <c r="B28" i="6"/>
  <c r="H28" i="1" s="1"/>
  <c r="B24" i="6"/>
  <c r="H24" i="1" s="1"/>
  <c r="B15" i="6"/>
  <c r="H15" i="1" s="1"/>
  <c r="B47" i="6"/>
  <c r="H47" i="1" s="1"/>
  <c r="B22" i="6"/>
  <c r="H22" i="1" s="1"/>
  <c r="J9" i="6"/>
  <c r="B41" i="6"/>
  <c r="H41" i="1" s="1"/>
  <c r="B37" i="6"/>
  <c r="H37" i="1" s="1"/>
  <c r="B25" i="6"/>
  <c r="H25" i="1" s="1"/>
  <c r="B8" i="6"/>
  <c r="H8" i="1" s="1"/>
  <c r="O4" i="4"/>
  <c r="O3" i="4"/>
  <c r="C13" i="8"/>
  <c r="D13" i="8" s="1"/>
  <c r="C3" i="8"/>
  <c r="D3" i="8" s="1"/>
  <c r="C9" i="8"/>
  <c r="D9" i="8" s="1"/>
  <c r="C46" i="8"/>
  <c r="D46" i="8" s="1"/>
  <c r="C21" i="8"/>
  <c r="D21" i="8" s="1"/>
  <c r="C53" i="8"/>
  <c r="D53" i="8" s="1"/>
  <c r="C27" i="8"/>
  <c r="D27" i="8" s="1"/>
  <c r="C6" i="8"/>
  <c r="D6" i="8" s="1"/>
  <c r="C15" i="8"/>
  <c r="D15" i="8" s="1"/>
  <c r="C41" i="8"/>
  <c r="D41" i="8" s="1"/>
  <c r="C11" i="8"/>
  <c r="D11" i="8" s="1"/>
  <c r="C33" i="8"/>
  <c r="D33" i="8" s="1"/>
  <c r="C59" i="8"/>
  <c r="D59" i="8" s="1"/>
  <c r="C7" i="8"/>
  <c r="D7" i="8" s="1"/>
  <c r="C37" i="8"/>
  <c r="D37" i="8" s="1"/>
  <c r="C24" i="8"/>
  <c r="D24" i="8" s="1"/>
  <c r="C64" i="8"/>
  <c r="D64" i="8" s="1"/>
  <c r="C45" i="8"/>
  <c r="D45" i="8" s="1"/>
  <c r="C35" i="8"/>
  <c r="D35" i="8" s="1"/>
  <c r="C14" i="8"/>
  <c r="D14" i="8" s="1"/>
  <c r="C32" i="8"/>
  <c r="D32" i="8" s="1"/>
  <c r="C56" i="8"/>
  <c r="D56" i="8" s="1"/>
  <c r="C2" i="8"/>
  <c r="D2" i="8" s="1"/>
  <c r="C34" i="8"/>
  <c r="D34" i="8" s="1"/>
  <c r="C10" i="8"/>
  <c r="D10" i="8" s="1"/>
  <c r="C62" i="8"/>
  <c r="D62" i="8" s="1"/>
  <c r="C26" i="8"/>
  <c r="D26" i="8" s="1"/>
  <c r="C42" i="8"/>
  <c r="D42" i="8" s="1"/>
  <c r="C8" i="8"/>
  <c r="D8" i="8" s="1"/>
  <c r="C16" i="8"/>
  <c r="D16" i="8" s="1"/>
  <c r="C63" i="8"/>
  <c r="D63" i="8" s="1"/>
  <c r="C22" i="8"/>
  <c r="D22" i="8" s="1"/>
  <c r="C30" i="8"/>
  <c r="D30" i="8" s="1"/>
  <c r="C20" i="8"/>
  <c r="D20" i="8" s="1"/>
  <c r="C51" i="8"/>
  <c r="D51" i="8" s="1"/>
  <c r="C18" i="8"/>
  <c r="D18" i="8" s="1"/>
  <c r="C50" i="8"/>
  <c r="D50" i="8" s="1"/>
  <c r="C48" i="8"/>
  <c r="D48" i="8" s="1"/>
  <c r="C52" i="8"/>
  <c r="D52" i="8" s="1"/>
  <c r="C28" i="8"/>
  <c r="D28" i="8" s="1"/>
  <c r="C44" i="8"/>
  <c r="D44" i="8" s="1"/>
  <c r="C29" i="8"/>
  <c r="D29" i="8" s="1"/>
  <c r="C23" i="8"/>
  <c r="D23" i="8" s="1"/>
  <c r="C43" i="8"/>
  <c r="D43" i="8" s="1"/>
  <c r="C4" i="8"/>
  <c r="D4" i="8" s="1"/>
  <c r="C25" i="8"/>
  <c r="D25" i="8" s="1"/>
  <c r="C49" i="8"/>
  <c r="D49" i="8" s="1"/>
  <c r="C12" i="8"/>
  <c r="D12" i="8" s="1"/>
  <c r="C31" i="8"/>
  <c r="D31" i="8" s="1"/>
  <c r="C47" i="8"/>
  <c r="D47" i="8" s="1"/>
  <c r="C5" i="8"/>
  <c r="D5" i="8" s="1"/>
  <c r="C65" i="8"/>
  <c r="D65" i="8" s="1"/>
  <c r="C17" i="8"/>
  <c r="D17" i="8" s="1"/>
  <c r="C54" i="8"/>
  <c r="D54" i="8" s="1"/>
  <c r="C57" i="8"/>
  <c r="D57" i="8" s="1"/>
  <c r="C40" i="8"/>
  <c r="D40" i="8" s="1"/>
  <c r="C60" i="8"/>
  <c r="D60" i="8" s="1"/>
  <c r="C19" i="8"/>
  <c r="D19" i="8" s="1"/>
  <c r="C55" i="8"/>
  <c r="D55" i="8" s="1"/>
  <c r="C58" i="8"/>
  <c r="D58" i="8" s="1"/>
  <c r="C36" i="8"/>
  <c r="D36" i="8" s="1"/>
  <c r="C61" i="8"/>
  <c r="D61" i="8" s="1"/>
  <c r="C38" i="8"/>
  <c r="D38" i="8" s="1"/>
  <c r="C39" i="8"/>
  <c r="D39" i="8" s="1"/>
  <c r="M6" i="5" a="1"/>
  <c r="H2" i="1"/>
  <c r="C2" i="6" l="1" a="1"/>
  <c r="C11" i="6" s="1"/>
  <c r="C61" i="6"/>
  <c r="C47" i="6"/>
  <c r="C40" i="6"/>
  <c r="C5" i="6"/>
  <c r="C37" i="6"/>
  <c r="C8" i="6"/>
  <c r="C60" i="6"/>
  <c r="C23" i="6"/>
  <c r="C43" i="6"/>
  <c r="C45" i="6"/>
  <c r="C31" i="6"/>
  <c r="C4" i="6"/>
  <c r="C24" i="6"/>
  <c r="C17" i="6"/>
  <c r="C57" i="6"/>
  <c r="C25" i="6"/>
  <c r="C33" i="6"/>
  <c r="C10" i="6"/>
  <c r="C28" i="6"/>
  <c r="C44" i="6"/>
  <c r="C15" i="6"/>
  <c r="C46" i="6"/>
  <c r="C64" i="6"/>
  <c r="C63" i="6"/>
  <c r="C26" i="6"/>
  <c r="T15" i="4"/>
  <c r="T16" i="4" s="1"/>
  <c r="P15" i="4"/>
  <c r="P16" i="4" s="1"/>
  <c r="W15" i="4"/>
  <c r="W16" i="4" s="1"/>
  <c r="U15" i="4"/>
  <c r="U16" i="4" s="1"/>
  <c r="Y15" i="4"/>
  <c r="Y16" i="4" s="1"/>
  <c r="AA15" i="4"/>
  <c r="AA16" i="4" s="1"/>
  <c r="O15" i="4"/>
  <c r="O16" i="4" s="1"/>
  <c r="R15" i="4"/>
  <c r="R16" i="4" s="1"/>
  <c r="X15" i="4"/>
  <c r="X16" i="4" s="1"/>
  <c r="V15" i="4"/>
  <c r="V16" i="4" s="1"/>
  <c r="S15" i="4"/>
  <c r="S16" i="4" s="1"/>
  <c r="Z15" i="4"/>
  <c r="Z16" i="4" s="1"/>
  <c r="Q15" i="4"/>
  <c r="Q16" i="4" s="1"/>
  <c r="N16" i="4"/>
  <c r="I2" i="1" a="1"/>
  <c r="AE6" i="5"/>
  <c r="K20" i="5" s="1"/>
  <c r="BI6" i="5"/>
  <c r="K50" i="5" s="1"/>
  <c r="BD6" i="5"/>
  <c r="K45" i="5" s="1"/>
  <c r="BQ6" i="5"/>
  <c r="K58" i="5" s="1"/>
  <c r="M6" i="5"/>
  <c r="K2" i="5" s="1"/>
  <c r="BS6" i="5"/>
  <c r="K60" i="5" s="1"/>
  <c r="U6" i="5"/>
  <c r="K10" i="5" s="1"/>
  <c r="AB6" i="5"/>
  <c r="K17" i="5" s="1"/>
  <c r="W6" i="5"/>
  <c r="K12" i="5" s="1"/>
  <c r="AJ6" i="5"/>
  <c r="K25" i="5" s="1"/>
  <c r="AQ6" i="5"/>
  <c r="K32" i="5" s="1"/>
  <c r="AV6" i="5"/>
  <c r="K37" i="5" s="1"/>
  <c r="BE6" i="5"/>
  <c r="K46" i="5" s="1"/>
  <c r="BF6" i="5"/>
  <c r="K47" i="5" s="1"/>
  <c r="Q6" i="5"/>
  <c r="K6" i="5" s="1"/>
  <c r="BO6" i="5"/>
  <c r="K56" i="5" s="1"/>
  <c r="BL6" i="5"/>
  <c r="K53" i="5" s="1"/>
  <c r="AS6" i="5"/>
  <c r="K34" i="5" s="1"/>
  <c r="AY6" i="5"/>
  <c r="K40" i="5" s="1"/>
  <c r="BR6" i="5"/>
  <c r="K59" i="5" s="1"/>
  <c r="BH6" i="5"/>
  <c r="K49" i="5" s="1"/>
  <c r="BC6" i="5"/>
  <c r="K44" i="5" s="1"/>
  <c r="P6" i="5"/>
  <c r="K5" i="5" s="1"/>
  <c r="BT6" i="5"/>
  <c r="K61" i="5" s="1"/>
  <c r="AC6" i="5"/>
  <c r="K18" i="5" s="1"/>
  <c r="AK6" i="5"/>
  <c r="K26" i="5" s="1"/>
  <c r="AM6" i="5"/>
  <c r="K28" i="5" s="1"/>
  <c r="AF6" i="5"/>
  <c r="K21" i="5" s="1"/>
  <c r="BP6" i="5"/>
  <c r="K57" i="5" s="1"/>
  <c r="AH6" i="5"/>
  <c r="K23" i="5" s="1"/>
  <c r="BK6" i="5"/>
  <c r="K52" i="5" s="1"/>
  <c r="AW6" i="5"/>
  <c r="K38" i="5" s="1"/>
  <c r="AO6" i="5"/>
  <c r="K30" i="5" s="1"/>
  <c r="BM6" i="5"/>
  <c r="K54" i="5" s="1"/>
  <c r="T6" i="5"/>
  <c r="K9" i="5" s="1"/>
  <c r="BN6" i="5"/>
  <c r="K55" i="5" s="1"/>
  <c r="AD6" i="5"/>
  <c r="K19" i="5" s="1"/>
  <c r="AN6" i="5"/>
  <c r="K29" i="5" s="1"/>
  <c r="AG6" i="5"/>
  <c r="K22" i="5" s="1"/>
  <c r="AL6" i="5"/>
  <c r="K27" i="5" s="1"/>
  <c r="BG6" i="5"/>
  <c r="K48" i="5" s="1"/>
  <c r="Y6" i="5"/>
  <c r="K14" i="5" s="1"/>
  <c r="R6" i="5"/>
  <c r="K7" i="5" s="1"/>
  <c r="AX6" i="5"/>
  <c r="K39" i="5" s="1"/>
  <c r="AA6" i="5"/>
  <c r="K16" i="5" s="1"/>
  <c r="AR6" i="5"/>
  <c r="K33" i="5" s="1"/>
  <c r="AZ6" i="5"/>
  <c r="K41" i="5" s="1"/>
  <c r="V6" i="5"/>
  <c r="K11" i="5" s="1"/>
  <c r="AT6" i="5"/>
  <c r="K35" i="5" s="1"/>
  <c r="BB6" i="5"/>
  <c r="K43" i="5" s="1"/>
  <c r="Z6" i="5"/>
  <c r="K15" i="5" s="1"/>
  <c r="BJ6" i="5"/>
  <c r="K51" i="5" s="1"/>
  <c r="X6" i="5"/>
  <c r="K13" i="5" s="1"/>
  <c r="BW6" i="5"/>
  <c r="K64" i="5" s="1"/>
  <c r="AP6" i="5"/>
  <c r="K31" i="5" s="1"/>
  <c r="S6" i="5"/>
  <c r="K8" i="5" s="1"/>
  <c r="AU6" i="5"/>
  <c r="K36" i="5" s="1"/>
  <c r="AI6" i="5"/>
  <c r="K24" i="5" s="1"/>
  <c r="BA6" i="5"/>
  <c r="K42" i="5" s="1"/>
  <c r="BV6" i="5"/>
  <c r="K63" i="5" s="1"/>
  <c r="N6" i="5"/>
  <c r="K3" i="5" s="1"/>
  <c r="O6" i="5"/>
  <c r="K4" i="5" s="1"/>
  <c r="BU6" i="5"/>
  <c r="K62" i="5" s="1"/>
  <c r="C6" i="6" l="1"/>
  <c r="C49" i="6"/>
  <c r="C7" i="6"/>
  <c r="C41" i="6"/>
  <c r="C51" i="6"/>
  <c r="C27" i="6"/>
  <c r="C21" i="6"/>
  <c r="C16" i="6"/>
  <c r="C55" i="6"/>
  <c r="C42" i="6"/>
  <c r="C9" i="6"/>
  <c r="C14" i="6"/>
  <c r="C32" i="6"/>
  <c r="C53" i="6"/>
  <c r="C38" i="6"/>
  <c r="C22" i="6"/>
  <c r="C18" i="6"/>
  <c r="C30" i="6"/>
  <c r="C58" i="6"/>
  <c r="C52" i="6"/>
  <c r="C35" i="6"/>
  <c r="C2" i="6"/>
  <c r="C29" i="6"/>
  <c r="C50" i="6"/>
  <c r="C19" i="6"/>
  <c r="C54" i="6"/>
  <c r="C62" i="6"/>
  <c r="C34" i="6"/>
  <c r="C48" i="6"/>
  <c r="C36" i="6"/>
  <c r="C59" i="6"/>
  <c r="C39" i="6"/>
  <c r="C13" i="6"/>
  <c r="C3" i="6"/>
  <c r="C20" i="6"/>
  <c r="C56" i="6"/>
  <c r="C12" i="6"/>
  <c r="C65" i="6"/>
  <c r="N2" i="4"/>
  <c r="E2" i="1" a="1"/>
  <c r="I21" i="1"/>
  <c r="I19" i="1"/>
  <c r="I17" i="1"/>
  <c r="I15" i="1"/>
  <c r="I13" i="1"/>
  <c r="I11" i="1"/>
  <c r="I9" i="1"/>
  <c r="I7" i="1"/>
  <c r="I5" i="1"/>
  <c r="I3" i="1"/>
  <c r="I62" i="1"/>
  <c r="I65" i="1"/>
  <c r="I28" i="1"/>
  <c r="I57" i="1"/>
  <c r="I25" i="1"/>
  <c r="I64" i="1"/>
  <c r="I53" i="1"/>
  <c r="I20" i="1"/>
  <c r="I50" i="1"/>
  <c r="I45" i="1"/>
  <c r="I12" i="1"/>
  <c r="I42" i="1"/>
  <c r="I37" i="1"/>
  <c r="I4" i="1"/>
  <c r="I34" i="1"/>
  <c r="I26" i="1"/>
  <c r="I29" i="1"/>
  <c r="I58" i="1"/>
  <c r="I56" i="1"/>
  <c r="I52" i="1"/>
  <c r="I16" i="1"/>
  <c r="I43" i="1"/>
  <c r="I39" i="1"/>
  <c r="I38" i="1"/>
  <c r="I2" i="1"/>
  <c r="I61" i="1"/>
  <c r="I23" i="1"/>
  <c r="I8" i="1"/>
  <c r="I63" i="1"/>
  <c r="I24" i="1"/>
  <c r="I51" i="1"/>
  <c r="I47" i="1"/>
  <c r="I46" i="1"/>
  <c r="I10" i="1"/>
  <c r="I6" i="1"/>
  <c r="I33" i="1"/>
  <c r="I30" i="1"/>
  <c r="I27" i="1"/>
  <c r="I22" i="1"/>
  <c r="I49" i="1"/>
  <c r="I48" i="1"/>
  <c r="I44" i="1"/>
  <c r="I35" i="1"/>
  <c r="I31" i="1"/>
  <c r="I59" i="1"/>
  <c r="I54" i="1"/>
  <c r="I40" i="1"/>
  <c r="I60" i="1"/>
  <c r="I18" i="1"/>
  <c r="I36" i="1"/>
  <c r="I14" i="1"/>
  <c r="I32" i="1"/>
  <c r="I41" i="1"/>
  <c r="I55" i="1"/>
  <c r="E43" i="1" l="1"/>
  <c r="E25" i="1"/>
  <c r="E59" i="1"/>
  <c r="E12" i="1"/>
  <c r="E48" i="1"/>
  <c r="E35" i="1"/>
  <c r="E49" i="1"/>
  <c r="E38" i="1"/>
  <c r="E27" i="1"/>
  <c r="E60" i="1"/>
  <c r="E7" i="1"/>
  <c r="E33" i="1"/>
  <c r="E61" i="1"/>
  <c r="E34" i="1"/>
  <c r="E63" i="1"/>
  <c r="E36" i="1"/>
  <c r="E55" i="1"/>
  <c r="E42" i="1"/>
  <c r="E52" i="1"/>
  <c r="E4" i="1"/>
  <c r="E39" i="1"/>
  <c r="E24" i="1"/>
  <c r="E22" i="1"/>
  <c r="E17" i="1"/>
  <c r="E56" i="1"/>
  <c r="E20" i="1"/>
  <c r="E32" i="1"/>
  <c r="E50" i="1"/>
  <c r="E29" i="1"/>
  <c r="E46" i="1"/>
  <c r="E58" i="1"/>
  <c r="E15" i="1"/>
  <c r="E8" i="1"/>
  <c r="E65" i="1"/>
  <c r="E13" i="1"/>
  <c r="E10" i="1"/>
  <c r="E40" i="1"/>
  <c r="E30" i="1"/>
  <c r="E51" i="1"/>
  <c r="E64" i="1"/>
  <c r="E14" i="1"/>
  <c r="E11" i="1"/>
  <c r="E57" i="1"/>
  <c r="E37" i="1"/>
  <c r="E28" i="1"/>
  <c r="E41" i="1"/>
  <c r="E26" i="1"/>
  <c r="E54" i="1"/>
  <c r="E16" i="1"/>
  <c r="E9" i="1"/>
  <c r="E18" i="1"/>
  <c r="E62" i="1"/>
  <c r="E45" i="1"/>
  <c r="E2" i="1"/>
  <c r="E47" i="1"/>
  <c r="E6" i="1"/>
  <c r="E3" i="1"/>
  <c r="E19" i="1"/>
  <c r="E53" i="1"/>
  <c r="E5" i="1"/>
  <c r="E21" i="1"/>
  <c r="E23" i="1"/>
  <c r="E31" i="1"/>
  <c r="E44" i="1"/>
  <c r="F11" i="4"/>
  <c r="N6" i="4"/>
  <c r="J11" i="4"/>
  <c r="G11" i="4"/>
  <c r="H11" i="4"/>
  <c r="N12" i="4"/>
  <c r="I11" i="4"/>
  <c r="N9" i="4"/>
  <c r="G2" i="1" l="1" a="1"/>
  <c r="G22" i="1" l="1"/>
  <c r="G6" i="1"/>
  <c r="G46" i="1"/>
  <c r="G19" i="1"/>
  <c r="G62" i="1"/>
  <c r="G16" i="1"/>
  <c r="G52" i="1"/>
  <c r="G50" i="1"/>
  <c r="G14" i="1"/>
  <c r="G31" i="1"/>
  <c r="G33" i="1"/>
  <c r="G60" i="1"/>
  <c r="G18" i="1"/>
  <c r="G42" i="1"/>
  <c r="G29" i="1"/>
  <c r="G54" i="1"/>
  <c r="G37" i="1"/>
  <c r="G27" i="1"/>
  <c r="G43" i="1"/>
  <c r="G28" i="1"/>
  <c r="G10" i="1"/>
  <c r="G63" i="1"/>
  <c r="G2" i="1"/>
  <c r="G34" i="1"/>
  <c r="G59" i="1"/>
  <c r="G61" i="1"/>
  <c r="G8" i="1"/>
  <c r="G51" i="1"/>
  <c r="G40" i="1"/>
  <c r="G7" i="1"/>
  <c r="G35" i="1"/>
  <c r="G48" i="1"/>
  <c r="G47" i="1"/>
  <c r="G58" i="1"/>
  <c r="G38" i="1"/>
  <c r="G3" i="1"/>
  <c r="G32" i="1"/>
  <c r="B19" i="2" s="1"/>
  <c r="B18" i="2" s="1"/>
  <c r="G36" i="1"/>
  <c r="G26" i="1"/>
  <c r="G65" i="1"/>
  <c r="G17" i="1"/>
  <c r="G13" i="1"/>
  <c r="G9" i="1"/>
  <c r="G56" i="1"/>
  <c r="G41" i="1"/>
  <c r="G45" i="1"/>
  <c r="G49" i="1"/>
  <c r="G5" i="1"/>
  <c r="G53" i="1"/>
  <c r="G4" i="1"/>
  <c r="G11" i="1"/>
  <c r="G55" i="1"/>
  <c r="G39" i="1"/>
  <c r="G30" i="1"/>
  <c r="G12" i="1"/>
  <c r="G44" i="1"/>
  <c r="G24" i="1"/>
  <c r="G15" i="1"/>
  <c r="G57" i="1"/>
  <c r="G25" i="1"/>
  <c r="G21" i="1"/>
  <c r="G23" i="1"/>
  <c r="G64" i="1"/>
  <c r="G20" i="1"/>
  <c r="L2" i="1" l="1" a="1"/>
  <c r="K2" i="1" a="1"/>
  <c r="J2" i="1" a="1"/>
  <c r="K52" i="1" l="1"/>
  <c r="K25" i="1"/>
  <c r="K44" i="1"/>
  <c r="K46" i="1"/>
  <c r="K34" i="1"/>
  <c r="K43" i="1"/>
  <c r="K50" i="1"/>
  <c r="K22" i="1"/>
  <c r="K64" i="1"/>
  <c r="K16" i="1"/>
  <c r="K12" i="1"/>
  <c r="K6" i="1"/>
  <c r="K54" i="1"/>
  <c r="K19" i="1"/>
  <c r="K24" i="1"/>
  <c r="K13" i="1"/>
  <c r="K32" i="1"/>
  <c r="K28" i="1"/>
  <c r="K36" i="1"/>
  <c r="K2" i="1"/>
  <c r="K65" i="1"/>
  <c r="K21" i="1"/>
  <c r="K17" i="1"/>
  <c r="K3" i="1"/>
  <c r="K51" i="1"/>
  <c r="K53" i="1"/>
  <c r="K58" i="1"/>
  <c r="K60" i="1"/>
  <c r="K27" i="1"/>
  <c r="K29" i="1"/>
  <c r="K7" i="1"/>
  <c r="K26" i="1"/>
  <c r="K48" i="1"/>
  <c r="K63" i="1"/>
  <c r="K45" i="1"/>
  <c r="K62" i="1"/>
  <c r="K37" i="1"/>
  <c r="K56" i="1"/>
  <c r="K33" i="1"/>
  <c r="K42" i="1"/>
  <c r="K47" i="1"/>
  <c r="K38" i="1"/>
  <c r="K31" i="1"/>
  <c r="K49" i="1"/>
  <c r="K61" i="1"/>
  <c r="K14" i="1"/>
  <c r="K11" i="1"/>
  <c r="K40" i="1"/>
  <c r="K8" i="1"/>
  <c r="K30" i="1"/>
  <c r="K55" i="1"/>
  <c r="K57" i="1"/>
  <c r="K9" i="1"/>
  <c r="K10" i="1"/>
  <c r="K35" i="1"/>
  <c r="K20" i="1"/>
  <c r="K39" i="1"/>
  <c r="K18" i="1"/>
  <c r="K4" i="1"/>
  <c r="K41" i="1"/>
  <c r="K59" i="1"/>
  <c r="K5" i="1"/>
  <c r="K23" i="1"/>
  <c r="K15" i="1"/>
  <c r="J29" i="1"/>
  <c r="AN2" i="3" s="1"/>
  <c r="J43" i="1"/>
  <c r="BB2" i="3" s="1"/>
  <c r="J12" i="1"/>
  <c r="W2" i="3" s="1"/>
  <c r="J15" i="1"/>
  <c r="Z2" i="3" s="1"/>
  <c r="J14" i="1"/>
  <c r="Y2" i="3" s="1"/>
  <c r="J3" i="1"/>
  <c r="N2" i="3" s="1"/>
  <c r="J28" i="1"/>
  <c r="AM2" i="3" s="1"/>
  <c r="J49" i="1"/>
  <c r="BH2" i="3" s="1"/>
  <c r="J24" i="1"/>
  <c r="AI2" i="3" s="1"/>
  <c r="J62" i="1"/>
  <c r="BU2" i="3" s="1"/>
  <c r="J57" i="1"/>
  <c r="BP2" i="3" s="1"/>
  <c r="J36" i="1"/>
  <c r="AU2" i="3" s="1"/>
  <c r="J39" i="1"/>
  <c r="AX2" i="3" s="1"/>
  <c r="J21" i="1"/>
  <c r="AF2" i="3" s="1"/>
  <c r="J65" i="1"/>
  <c r="BX2" i="3" s="1"/>
  <c r="J17" i="1"/>
  <c r="AB2" i="3" s="1"/>
  <c r="J54" i="1"/>
  <c r="BM2" i="3" s="1"/>
  <c r="J32" i="1"/>
  <c r="J18" i="1"/>
  <c r="AC2" i="3" s="1"/>
  <c r="J35" i="1"/>
  <c r="AT2" i="3" s="1"/>
  <c r="J45" i="1"/>
  <c r="BD2" i="3" s="1"/>
  <c r="J46" i="1"/>
  <c r="BE2" i="3" s="1"/>
  <c r="J59" i="1"/>
  <c r="BR2" i="3" s="1"/>
  <c r="J27" i="1"/>
  <c r="AL2" i="3" s="1"/>
  <c r="J63" i="1"/>
  <c r="BV2" i="3" s="1"/>
  <c r="J20" i="1"/>
  <c r="AE2" i="3" s="1"/>
  <c r="J23" i="1"/>
  <c r="AH2" i="3" s="1"/>
  <c r="J53" i="1"/>
  <c r="BL2" i="3" s="1"/>
  <c r="J38" i="1"/>
  <c r="AW2" i="3" s="1"/>
  <c r="J34" i="1"/>
  <c r="AS2" i="3" s="1"/>
  <c r="J8" i="1"/>
  <c r="S2" i="3" s="1"/>
  <c r="J37" i="1"/>
  <c r="AV2" i="3" s="1"/>
  <c r="J22" i="1"/>
  <c r="AG2" i="3" s="1"/>
  <c r="J55" i="1"/>
  <c r="BN2" i="3" s="1"/>
  <c r="J10" i="1"/>
  <c r="U2" i="3" s="1"/>
  <c r="J25" i="1"/>
  <c r="AJ2" i="3" s="1"/>
  <c r="J11" i="1"/>
  <c r="V2" i="3" s="1"/>
  <c r="J61" i="1"/>
  <c r="BT2" i="3" s="1"/>
  <c r="J50" i="1"/>
  <c r="BI2" i="3" s="1"/>
  <c r="J42" i="1"/>
  <c r="BA2" i="3" s="1"/>
  <c r="J58" i="1"/>
  <c r="BQ2" i="3" s="1"/>
  <c r="J51" i="1"/>
  <c r="BJ2" i="3" s="1"/>
  <c r="J13" i="1"/>
  <c r="X2" i="3" s="1"/>
  <c r="J48" i="1"/>
  <c r="BG2" i="3" s="1"/>
  <c r="J52" i="1"/>
  <c r="BK2" i="3" s="1"/>
  <c r="J7" i="1"/>
  <c r="R2" i="3" s="1"/>
  <c r="J5" i="1"/>
  <c r="P2" i="3" s="1"/>
  <c r="J56" i="1"/>
  <c r="BO2" i="3" s="1"/>
  <c r="J41" i="1"/>
  <c r="AZ2" i="3" s="1"/>
  <c r="J31" i="1"/>
  <c r="AP2" i="3" s="1"/>
  <c r="J16" i="1"/>
  <c r="AA2" i="3" s="1"/>
  <c r="J26" i="1"/>
  <c r="AK2" i="3" s="1"/>
  <c r="J9" i="1"/>
  <c r="T2" i="3" s="1"/>
  <c r="J4" i="1"/>
  <c r="O2" i="3" s="1"/>
  <c r="J60" i="1"/>
  <c r="BS2" i="3" s="1"/>
  <c r="J33" i="1"/>
  <c r="AR2" i="3" s="1"/>
  <c r="J64" i="1"/>
  <c r="BW2" i="3" s="1"/>
  <c r="J6" i="1"/>
  <c r="Q2" i="3" s="1"/>
  <c r="J30" i="1"/>
  <c r="AO2" i="3" s="1"/>
  <c r="J19" i="1"/>
  <c r="AD2" i="3" s="1"/>
  <c r="J40" i="1"/>
  <c r="AY2" i="3" s="1"/>
  <c r="J44" i="1"/>
  <c r="BC2" i="3" s="1"/>
  <c r="J47" i="1"/>
  <c r="BF2" i="3" s="1"/>
  <c r="J2" i="1"/>
  <c r="M2" i="3" s="1"/>
  <c r="L34" i="1"/>
  <c r="L6" i="1"/>
  <c r="L25" i="1"/>
  <c r="L52" i="1"/>
  <c r="L30" i="1"/>
  <c r="L5" i="1"/>
  <c r="L49" i="1"/>
  <c r="L51" i="1"/>
  <c r="L36" i="1"/>
  <c r="L27" i="1"/>
  <c r="L4" i="1"/>
  <c r="L65" i="1"/>
  <c r="L41" i="1"/>
  <c r="L62" i="1"/>
  <c r="L11" i="1"/>
  <c r="L55" i="1"/>
  <c r="L44" i="1"/>
  <c r="L2" i="1"/>
  <c r="L15" i="1"/>
  <c r="L64" i="1"/>
  <c r="L47" i="1"/>
  <c r="L61" i="1"/>
  <c r="L33" i="1"/>
  <c r="L42" i="1"/>
  <c r="L21" i="1"/>
  <c r="L19" i="1"/>
  <c r="L18" i="1"/>
  <c r="L32" i="1"/>
  <c r="L39" i="1"/>
  <c r="L63" i="1"/>
  <c r="L43" i="1"/>
  <c r="L58" i="1"/>
  <c r="L40" i="1"/>
  <c r="L24" i="1"/>
  <c r="L13" i="1"/>
  <c r="L14" i="1"/>
  <c r="L45" i="1"/>
  <c r="L37" i="1"/>
  <c r="L9" i="1"/>
  <c r="L57" i="1"/>
  <c r="L16" i="1"/>
  <c r="L10" i="1"/>
  <c r="L17" i="1"/>
  <c r="L7" i="1"/>
  <c r="L22" i="1"/>
  <c r="L54" i="1"/>
  <c r="L8" i="1"/>
  <c r="L12" i="1"/>
  <c r="L28" i="1"/>
  <c r="L48" i="1"/>
  <c r="L59" i="1"/>
  <c r="L35" i="1"/>
  <c r="L26" i="1"/>
  <c r="L20" i="1"/>
  <c r="L3" i="1"/>
  <c r="L38" i="1"/>
  <c r="L60" i="1"/>
  <c r="L56" i="1"/>
  <c r="L53" i="1"/>
  <c r="L29" i="1"/>
  <c r="L50" i="1"/>
  <c r="L46" i="1"/>
  <c r="L31" i="1"/>
  <c r="L23" i="1"/>
  <c r="K2" i="3" l="1"/>
  <c r="B21" i="2" s="1"/>
  <c r="AQ2" i="3"/>
  <c r="M2" i="1" a="1"/>
  <c r="P2" i="1" a="1"/>
  <c r="Q2" i="1" a="1"/>
  <c r="Q4" i="1" l="1"/>
  <c r="Q13" i="1"/>
  <c r="Q9" i="1"/>
  <c r="Q5" i="1"/>
  <c r="Q58" i="1"/>
  <c r="Q55" i="1"/>
  <c r="Q52" i="1"/>
  <c r="Q50" i="1"/>
  <c r="Q47" i="1"/>
  <c r="Q44" i="1"/>
  <c r="Q38" i="1"/>
  <c r="Q35" i="1"/>
  <c r="Q32" i="1"/>
  <c r="Q30" i="1"/>
  <c r="Q27" i="1"/>
  <c r="Q8" i="1"/>
  <c r="Q29" i="1"/>
  <c r="Q41" i="1"/>
  <c r="Q53" i="1"/>
  <c r="Q39" i="1"/>
  <c r="Q20" i="1"/>
  <c r="Q2" i="1"/>
  <c r="Q28" i="1"/>
  <c r="Q6" i="1"/>
  <c r="Q48" i="1"/>
  <c r="Q14" i="1"/>
  <c r="Q56" i="1"/>
  <c r="Q45" i="1"/>
  <c r="Q42" i="1"/>
  <c r="Q23" i="1"/>
  <c r="Q31" i="1"/>
  <c r="Q51" i="1"/>
  <c r="Q59" i="1"/>
  <c r="Q49" i="1"/>
  <c r="Q25" i="1"/>
  <c r="Q37" i="1"/>
  <c r="Q10" i="1"/>
  <c r="Q36" i="1"/>
  <c r="Q18" i="1"/>
  <c r="Q60" i="1"/>
  <c r="Q22" i="1"/>
  <c r="Q3" i="1"/>
  <c r="Q46" i="1"/>
  <c r="Q11" i="1"/>
  <c r="Q17" i="1"/>
  <c r="Q57" i="1"/>
  <c r="Q24" i="1"/>
  <c r="Q12" i="1"/>
  <c r="Q16" i="1"/>
  <c r="Q40" i="1"/>
  <c r="Q26" i="1"/>
  <c r="Q54" i="1"/>
  <c r="Q33" i="1"/>
  <c r="Q7" i="1"/>
  <c r="Q19" i="1"/>
  <c r="Q61" i="1"/>
  <c r="Q34" i="1"/>
  <c r="Q62" i="1"/>
  <c r="Q21" i="1"/>
  <c r="Q15" i="1"/>
  <c r="Q43" i="1"/>
  <c r="P41" i="1"/>
  <c r="P54" i="1"/>
  <c r="P49" i="1"/>
  <c r="P34" i="1"/>
  <c r="P24" i="1"/>
  <c r="P42" i="1"/>
  <c r="P38" i="1"/>
  <c r="P31" i="1"/>
  <c r="P43" i="1"/>
  <c r="P40" i="1"/>
  <c r="P56" i="1"/>
  <c r="P18" i="1"/>
  <c r="P2" i="1"/>
  <c r="P57" i="1"/>
  <c r="P12" i="1"/>
  <c r="P11" i="1"/>
  <c r="P48" i="1"/>
  <c r="P51" i="1"/>
  <c r="P4" i="1"/>
  <c r="P6" i="1"/>
  <c r="P19" i="1"/>
  <c r="P16" i="1"/>
  <c r="P21" i="1"/>
  <c r="P61" i="1"/>
  <c r="P8" i="1"/>
  <c r="P10" i="1"/>
  <c r="P30" i="1"/>
  <c r="P14" i="1"/>
  <c r="P25" i="1"/>
  <c r="P36" i="1"/>
  <c r="P50" i="1"/>
  <c r="P17" i="1"/>
  <c r="P47" i="1"/>
  <c r="P15" i="1"/>
  <c r="P46" i="1"/>
  <c r="P7" i="1"/>
  <c r="P3" i="1"/>
  <c r="P35" i="1"/>
  <c r="P29" i="1"/>
  <c r="P39" i="1"/>
  <c r="P20" i="1"/>
  <c r="P32" i="1"/>
  <c r="P5" i="1"/>
  <c r="P44" i="1"/>
  <c r="P62" i="1"/>
  <c r="P52" i="1"/>
  <c r="P58" i="1"/>
  <c r="P26" i="1"/>
  <c r="P9" i="1"/>
  <c r="P37" i="1"/>
  <c r="P33" i="1"/>
  <c r="P27" i="1"/>
  <c r="P60" i="1"/>
  <c r="P28" i="1"/>
  <c r="P53" i="1"/>
  <c r="P23" i="1"/>
  <c r="P13" i="1"/>
  <c r="P59" i="1"/>
  <c r="P55" i="1"/>
  <c r="P22" i="1"/>
  <c r="P45" i="1"/>
  <c r="M5" i="1"/>
  <c r="M53" i="1"/>
  <c r="M19" i="1"/>
  <c r="M57" i="1"/>
  <c r="M64" i="1"/>
  <c r="M51" i="1"/>
  <c r="M22" i="1"/>
  <c r="M34" i="1"/>
  <c r="M49" i="1"/>
  <c r="M54" i="1"/>
  <c r="M41" i="1"/>
  <c r="M32" i="1"/>
  <c r="M24" i="1"/>
  <c r="M60" i="1"/>
  <c r="M61" i="1"/>
  <c r="M62" i="1"/>
  <c r="M37" i="1"/>
  <c r="M44" i="1"/>
  <c r="M48" i="1"/>
  <c r="M12" i="1"/>
  <c r="M9" i="1"/>
  <c r="M27" i="1"/>
  <c r="M28" i="1"/>
  <c r="M36" i="1"/>
  <c r="M21" i="1"/>
  <c r="M47" i="1"/>
  <c r="M18" i="1"/>
  <c r="M38" i="1"/>
  <c r="M2" i="1"/>
  <c r="M59" i="1"/>
  <c r="M29" i="1"/>
  <c r="M39" i="1"/>
  <c r="M10" i="1"/>
  <c r="M8" i="1"/>
  <c r="M11" i="1"/>
  <c r="M58" i="1"/>
  <c r="M40" i="1"/>
  <c r="M31" i="1"/>
  <c r="M33" i="1"/>
  <c r="M43" i="1"/>
  <c r="M30" i="1"/>
  <c r="M7" i="1"/>
  <c r="M20" i="1"/>
  <c r="M23" i="1"/>
  <c r="M14" i="1"/>
  <c r="M50" i="1"/>
  <c r="M15" i="1"/>
  <c r="M13" i="1"/>
  <c r="M46" i="1"/>
  <c r="M55" i="1"/>
  <c r="M16" i="1"/>
  <c r="M26" i="1"/>
  <c r="M6" i="1"/>
  <c r="M17" i="1"/>
  <c r="M56" i="1"/>
  <c r="M45" i="1"/>
  <c r="M25" i="1"/>
  <c r="M3" i="1"/>
  <c r="M4" i="1"/>
  <c r="M63" i="1"/>
  <c r="M52" i="1"/>
  <c r="M35" i="1"/>
  <c r="M42" i="1"/>
  <c r="M65" i="1"/>
  <c r="P68" i="1" l="1"/>
  <c r="N2" i="1" a="1"/>
  <c r="Q68" i="1"/>
  <c r="R68" i="1" s="1"/>
  <c r="J2" i="3" l="1"/>
  <c r="B20" i="2" s="1"/>
  <c r="N29" i="1"/>
  <c r="N30" i="1"/>
  <c r="N24" i="1"/>
  <c r="N33" i="1"/>
  <c r="N35" i="1"/>
  <c r="N14" i="1"/>
  <c r="N43" i="1"/>
  <c r="N19" i="1"/>
  <c r="N48" i="1"/>
  <c r="N56" i="1"/>
  <c r="N54" i="1"/>
  <c r="N28" i="1"/>
  <c r="N57" i="1"/>
  <c r="N9" i="1"/>
  <c r="N23" i="1"/>
  <c r="N4" i="1"/>
  <c r="N47" i="1"/>
  <c r="N8" i="1"/>
  <c r="N45" i="1"/>
  <c r="N40" i="1"/>
  <c r="N21" i="1"/>
  <c r="N2" i="1"/>
  <c r="N52" i="1"/>
  <c r="N15" i="1"/>
  <c r="N5" i="1"/>
  <c r="N25" i="1"/>
  <c r="N6" i="1"/>
  <c r="N11" i="1"/>
  <c r="N50" i="1"/>
  <c r="N42" i="1"/>
  <c r="N10" i="1"/>
  <c r="N58" i="1"/>
  <c r="N16" i="1"/>
  <c r="N41" i="1"/>
  <c r="N55" i="1"/>
  <c r="N64" i="1"/>
  <c r="N65" i="1"/>
  <c r="N63" i="1"/>
  <c r="N31" i="1"/>
  <c r="N18" i="1"/>
  <c r="N27" i="1"/>
  <c r="N53" i="1"/>
  <c r="N36" i="1"/>
  <c r="N34" i="1"/>
  <c r="N26" i="1"/>
  <c r="N61" i="1"/>
  <c r="N59" i="1"/>
  <c r="N49" i="1"/>
  <c r="N3" i="1"/>
  <c r="N37" i="1"/>
  <c r="N51" i="1"/>
  <c r="N32" i="1"/>
  <c r="N7" i="1"/>
  <c r="N17" i="1"/>
  <c r="N38" i="1"/>
  <c r="N22" i="1"/>
  <c r="N46" i="1"/>
  <c r="N13" i="1"/>
  <c r="N60" i="1"/>
  <c r="N39" i="1"/>
  <c r="N20" i="1"/>
  <c r="N44" i="1"/>
  <c r="N12" i="1"/>
  <c r="N62" i="1"/>
  <c r="L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Chuck Gallegos</author>
  </authors>
  <commentList>
    <comment ref="E1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Chuck Gallegos:</t>
        </r>
        <r>
          <rPr>
            <sz val="8"/>
            <color indexed="81"/>
            <rFont val="Tahoma"/>
            <family val="2"/>
          </rPr>
          <t xml:space="preserve">
Decimal time, e.g.  2:30 PM= 14.5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Chuck Gallegos</author>
  </authors>
  <commentList>
    <comment ref="I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Chuck Gallegos:</t>
        </r>
        <r>
          <rPr>
            <sz val="8"/>
            <color indexed="81"/>
            <rFont val="Tahoma"/>
            <family val="2"/>
          </rPr>
          <t xml:space="preserve">
Rows missing NTU data were deleted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Chuck Gallegos</author>
  </authors>
  <commentList>
    <comment ref="E1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Chuck Gallegos:</t>
        </r>
        <r>
          <rPr>
            <sz val="8"/>
            <color indexed="81"/>
            <rFont val="Tahoma"/>
            <family val="2"/>
          </rPr>
          <t xml:space="preserve">
Decimal time, e.g.  2:30 PM= 14.5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Chuck Gallegos</author>
  </authors>
  <commentList>
    <comment ref="A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Chuck Gallegos:</t>
        </r>
        <r>
          <rPr>
            <sz val="8"/>
            <color indexed="81"/>
            <rFont val="Tahoma"/>
            <family val="2"/>
          </rPr>
          <t xml:space="preserve">
Principal component scores that govern shape of phytoplankton absorption spectrum.  Zero values fix the shape at its mean.</t>
        </r>
      </text>
    </comment>
    <comment ref="L5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Chuck Gallegos:</t>
        </r>
        <r>
          <rPr>
            <sz val="8"/>
            <color indexed="81"/>
            <rFont val="Tahoma"/>
            <family val="2"/>
          </rPr>
          <t xml:space="preserve">
Principal component scores that govern shape of phytoplankton absorption spectrum.  Zero values fix the shape at its mean.</t>
        </r>
      </text>
    </comment>
    <comment ref="A14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Chuck Gallegos:</t>
        </r>
        <r>
          <rPr>
            <sz val="8"/>
            <color indexed="81"/>
            <rFont val="Tahoma"/>
            <family val="2"/>
          </rPr>
          <t xml:space="preserve">
Governs depression of scattering in chlorophyll absorption bands.  Varies ca. 0 - 0.6</t>
        </r>
      </text>
    </comment>
    <comment ref="L14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Chuck Gallegos:</t>
        </r>
        <r>
          <rPr>
            <sz val="8"/>
            <color indexed="81"/>
            <rFont val="Tahoma"/>
            <family val="2"/>
          </rPr>
          <t xml:space="preserve">
Governs depression of scattering in chlorophyll absorption bands.  Varies ca. 0 - 0.6</t>
        </r>
      </text>
    </comment>
    <comment ref="B24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Chuck Gallegos:</t>
        </r>
        <r>
          <rPr>
            <sz val="8"/>
            <color indexed="81"/>
            <rFont val="Tahoma"/>
            <family val="2"/>
          </rPr>
          <t xml:space="preserve">
Lee et al. 2002</t>
        </r>
      </text>
    </comment>
    <comment ref="A26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Chuck Gallegos:</t>
        </r>
        <r>
          <rPr>
            <sz val="8"/>
            <color indexed="81"/>
            <rFont val="Tahoma"/>
            <family val="2"/>
          </rPr>
          <t xml:space="preserve">
Bottom albedo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Chuck Gallegos</author>
  </authors>
  <commentList>
    <comment ref="J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Chuck Gallegos:</t>
        </r>
        <r>
          <rPr>
            <sz val="8"/>
            <color indexed="81"/>
            <rFont val="Tahoma"/>
            <family val="2"/>
          </rPr>
          <t xml:space="preserve">
Eq. 11 of Lee et al. 2005.</t>
        </r>
      </text>
    </comment>
  </commentList>
</comments>
</file>

<file path=xl/sharedStrings.xml><?xml version="1.0" encoding="utf-8"?>
<sst xmlns="http://schemas.openxmlformats.org/spreadsheetml/2006/main" count="648" uniqueCount="317">
  <si>
    <t>Wavel</t>
  </si>
  <si>
    <t>Exponents</t>
  </si>
  <si>
    <t>Latitude</t>
  </si>
  <si>
    <t>Longitude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</si>
  <si>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(mg Chla)</t>
    </r>
    <r>
      <rPr>
        <vertAlign val="superscript"/>
        <sz val="10"/>
        <rFont val="Arial"/>
        <family val="2"/>
      </rPr>
      <t>-1</t>
    </r>
  </si>
  <si>
    <t>Phi PC1</t>
  </si>
  <si>
    <t>dmnless</t>
  </si>
  <si>
    <t>Phi PC2</t>
  </si>
  <si>
    <t>Phi PC3</t>
  </si>
  <si>
    <t>bb2b</t>
  </si>
  <si>
    <r>
      <t>s</t>
    </r>
    <r>
      <rPr>
        <vertAlign val="subscript"/>
        <sz val="10"/>
        <color indexed="8"/>
        <rFont val="Arial"/>
        <family val="2"/>
      </rPr>
      <t>CDOM</t>
    </r>
  </si>
  <si>
    <r>
      <t>nm</t>
    </r>
    <r>
      <rPr>
        <vertAlign val="superscript"/>
        <sz val="10"/>
        <rFont val="Arial"/>
        <family val="2"/>
      </rPr>
      <t>-1</t>
    </r>
  </si>
  <si>
    <r>
      <t>a</t>
    </r>
    <r>
      <rPr>
        <vertAlign val="superscript"/>
        <sz val="10"/>
        <color indexed="8"/>
        <rFont val="Arial"/>
        <family val="2"/>
      </rPr>
      <t>star</t>
    </r>
    <r>
      <rPr>
        <vertAlign val="subscript"/>
        <sz val="10"/>
        <color indexed="8"/>
        <rFont val="Arial"/>
        <family val="2"/>
      </rPr>
      <t>min</t>
    </r>
    <r>
      <rPr>
        <sz val="10"/>
        <color indexed="8"/>
        <rFont val="Arial"/>
        <family val="2"/>
      </rPr>
      <t>440</t>
    </r>
  </si>
  <si>
    <r>
      <t>s</t>
    </r>
    <r>
      <rPr>
        <vertAlign val="subscript"/>
        <sz val="10"/>
        <rFont val="Arial"/>
        <family val="2"/>
      </rPr>
      <t>NAP</t>
    </r>
  </si>
  <si>
    <r>
      <t>b</t>
    </r>
    <r>
      <rPr>
        <vertAlign val="subscript"/>
        <sz val="10"/>
        <color indexed="8"/>
        <rFont val="Arial"/>
        <family val="2"/>
      </rPr>
      <t>p</t>
    </r>
    <r>
      <rPr>
        <vertAlign val="superscript"/>
        <sz val="10"/>
        <color indexed="8"/>
        <rFont val="Arial"/>
        <family val="2"/>
      </rPr>
      <t>star</t>
    </r>
    <r>
      <rPr>
        <sz val="10"/>
        <color indexed="8"/>
        <rFont val="Arial"/>
        <family val="2"/>
      </rPr>
      <t>555</t>
    </r>
  </si>
  <si>
    <t>eta</t>
  </si>
  <si>
    <r>
      <t>c</t>
    </r>
    <r>
      <rPr>
        <vertAlign val="subscript"/>
        <sz val="10"/>
        <color indexed="8"/>
        <rFont val="Arial"/>
        <family val="2"/>
      </rPr>
      <t>phi</t>
    </r>
    <r>
      <rPr>
        <vertAlign val="superscript"/>
        <sz val="10"/>
        <color indexed="8"/>
        <rFont val="Arial"/>
        <family val="2"/>
      </rPr>
      <t>star</t>
    </r>
  </si>
  <si>
    <t>chlexp</t>
  </si>
  <si>
    <t>apexp</t>
  </si>
  <si>
    <t>bpexp</t>
  </si>
  <si>
    <t>Station ID</t>
  </si>
  <si>
    <t>Year</t>
  </si>
  <si>
    <t>Day</t>
  </si>
  <si>
    <t>DecTime</t>
  </si>
  <si>
    <t>CDOM440</t>
  </si>
  <si>
    <t>CHLA</t>
  </si>
  <si>
    <t>z</t>
  </si>
  <si>
    <t xml:space="preserve">This page calculates the cosine of refracted zenith angle, and allows adjustment of calibration coefficients  </t>
  </si>
  <si>
    <t>Blue= User entry</t>
  </si>
  <si>
    <t>Red= Calculated value</t>
  </si>
  <si>
    <t>Enter Year, Month, and Day in L3;</t>
  </si>
  <si>
    <t>Avg. Refr. Cosine</t>
  </si>
  <si>
    <t>Enter Lat. &amp; Long. as decimal degrees; i.e. 38° 30' = 38.50</t>
  </si>
  <si>
    <t>Month</t>
  </si>
  <si>
    <t xml:space="preserve"> Sunrise</t>
  </si>
  <si>
    <t xml:space="preserve"> Sunset</t>
  </si>
  <si>
    <t>Enter Start and End Times in C5-C6.</t>
  </si>
  <si>
    <t>Start Time:</t>
  </si>
  <si>
    <t>Day of Year</t>
  </si>
  <si>
    <t>Use only standard time, and decimal hours; i.e., 1:45 P.M. = 13.75.</t>
  </si>
  <si>
    <t>End Time:</t>
  </si>
  <si>
    <t xml:space="preserve">    H</t>
  </si>
  <si>
    <t xml:space="preserve">    L</t>
  </si>
  <si>
    <t xml:space="preserve">   d</t>
  </si>
  <si>
    <t xml:space="preserve">    l</t>
  </si>
  <si>
    <t xml:space="preserve">  sigma</t>
  </si>
  <si>
    <t xml:space="preserve">   D</t>
  </si>
  <si>
    <t xml:space="preserve">   M</t>
  </si>
  <si>
    <t>mu0</t>
  </si>
  <si>
    <t>b</t>
  </si>
  <si>
    <t>Wavelength</t>
  </si>
  <si>
    <t>U1</t>
  </si>
  <si>
    <t>U2</t>
  </si>
  <si>
    <t>U3</t>
  </si>
  <si>
    <t>V1</t>
  </si>
  <si>
    <t>V2</t>
  </si>
  <si>
    <t>V3</t>
  </si>
  <si>
    <t>Dev</t>
  </si>
  <si>
    <t>Avg</t>
  </si>
  <si>
    <t>aphi400</t>
  </si>
  <si>
    <t>aphi405</t>
  </si>
  <si>
    <t>aphi410</t>
  </si>
  <si>
    <t>aphi415</t>
  </si>
  <si>
    <t>aphi420</t>
  </si>
  <si>
    <t>aphi425</t>
  </si>
  <si>
    <t>aphi430</t>
  </si>
  <si>
    <t>aphi435</t>
  </si>
  <si>
    <t>aphi440</t>
  </si>
  <si>
    <t>aphi445</t>
  </si>
  <si>
    <t>aphi450</t>
  </si>
  <si>
    <t>aphi455</t>
  </si>
  <si>
    <t>aphi460</t>
  </si>
  <si>
    <t>aphi465</t>
  </si>
  <si>
    <t>aphi470</t>
  </si>
  <si>
    <t>aphi475</t>
  </si>
  <si>
    <t>aphi480</t>
  </si>
  <si>
    <t>aphi485</t>
  </si>
  <si>
    <t>aphi490</t>
  </si>
  <si>
    <t>aphi495</t>
  </si>
  <si>
    <t>aphi500</t>
  </si>
  <si>
    <t>aphi505</t>
  </si>
  <si>
    <t>aphi510</t>
  </si>
  <si>
    <t>aphi515</t>
  </si>
  <si>
    <t>aphi520</t>
  </si>
  <si>
    <t>aphi525</t>
  </si>
  <si>
    <t>aphi530</t>
  </si>
  <si>
    <t>aphi535</t>
  </si>
  <si>
    <t>aphi540</t>
  </si>
  <si>
    <t>aphi545</t>
  </si>
  <si>
    <t>aphi550</t>
  </si>
  <si>
    <t>aphi555</t>
  </si>
  <si>
    <t>aphi560</t>
  </si>
  <si>
    <t>aphi565</t>
  </si>
  <si>
    <t>aphi570</t>
  </si>
  <si>
    <t>aphi575</t>
  </si>
  <si>
    <t>aphi580</t>
  </si>
  <si>
    <t>aphi585</t>
  </si>
  <si>
    <t>aphi590</t>
  </si>
  <si>
    <t>aphi595</t>
  </si>
  <si>
    <t>aphi600</t>
  </si>
  <si>
    <t>aphi605</t>
  </si>
  <si>
    <t>aphi610</t>
  </si>
  <si>
    <t>aphi615</t>
  </si>
  <si>
    <t>aphi620</t>
  </si>
  <si>
    <t>aphi625</t>
  </si>
  <si>
    <t>aphi630</t>
  </si>
  <si>
    <t>aphi635</t>
  </si>
  <si>
    <t>aphi640</t>
  </si>
  <si>
    <t>aphi645</t>
  </si>
  <si>
    <t>aphi650</t>
  </si>
  <si>
    <t>aphi655</t>
  </si>
  <si>
    <t>aphi660</t>
  </si>
  <si>
    <t>aphi665</t>
  </si>
  <si>
    <t>aphi670</t>
  </si>
  <si>
    <t>aphi675</t>
  </si>
  <si>
    <t>aphi680</t>
  </si>
  <si>
    <t>aphi685</t>
  </si>
  <si>
    <t>aphi690</t>
  </si>
  <si>
    <t>aphi695</t>
  </si>
  <si>
    <t>aphi700</t>
  </si>
  <si>
    <t>aphi705</t>
  </si>
  <si>
    <t>aphi710</t>
  </si>
  <si>
    <t>Simulated</t>
  </si>
  <si>
    <t>eval</t>
  </si>
  <si>
    <t>Average</t>
  </si>
  <si>
    <t>Std. Dev.</t>
  </si>
  <si>
    <t>Std. Err.</t>
  </si>
  <si>
    <t>2Std. Err.</t>
  </si>
  <si>
    <t>Phinorm</t>
  </si>
  <si>
    <t>bphin</t>
  </si>
  <si>
    <r>
      <t>a</t>
    </r>
    <r>
      <rPr>
        <vertAlign val="subscript"/>
        <sz val="10"/>
        <rFont val="Arial"/>
        <family val="2"/>
      </rPr>
      <t>phyto</t>
    </r>
  </si>
  <si>
    <r>
      <t>a</t>
    </r>
    <r>
      <rPr>
        <vertAlign val="subscript"/>
        <sz val="10"/>
        <rFont val="Arial"/>
        <family val="2"/>
      </rPr>
      <t>detr</t>
    </r>
  </si>
  <si>
    <r>
      <t>a</t>
    </r>
    <r>
      <rPr>
        <vertAlign val="subscript"/>
        <sz val="10"/>
        <rFont val="Arial"/>
        <family val="2"/>
      </rPr>
      <t>total</t>
    </r>
  </si>
  <si>
    <r>
      <t>K</t>
    </r>
    <r>
      <rPr>
        <vertAlign val="subscript"/>
        <sz val="10"/>
        <rFont val="Arial"/>
        <family val="2"/>
      </rPr>
      <t>d</t>
    </r>
  </si>
  <si>
    <r>
      <t>E</t>
    </r>
    <r>
      <rPr>
        <vertAlign val="subscript"/>
        <sz val="10"/>
        <rFont val="Arial"/>
        <family val="2"/>
      </rPr>
      <t>0</t>
    </r>
  </si>
  <si>
    <r>
      <t>E</t>
    </r>
    <r>
      <rPr>
        <vertAlign val="subscript"/>
        <sz val="10"/>
        <rFont val="Arial"/>
        <family val="2"/>
      </rPr>
      <t>z</t>
    </r>
  </si>
  <si>
    <t>E0PAR</t>
  </si>
  <si>
    <t>EPARz</t>
  </si>
  <si>
    <t>KdPAR</t>
  </si>
  <si>
    <r>
      <t>a</t>
    </r>
    <r>
      <rPr>
        <vertAlign val="superscript"/>
        <sz val="10"/>
        <color indexed="8"/>
        <rFont val="Arial"/>
        <family val="2"/>
      </rPr>
      <t>star</t>
    </r>
    <r>
      <rPr>
        <vertAlign val="subscript"/>
        <sz val="10"/>
        <color indexed="8"/>
        <rFont val="Arial"/>
        <family val="2"/>
      </rPr>
      <t>min</t>
    </r>
    <r>
      <rPr>
        <sz val="10"/>
        <color indexed="8"/>
        <rFont val="Arial"/>
        <family val="2"/>
      </rPr>
      <t>lw</t>
    </r>
  </si>
  <si>
    <t>gamma</t>
  </si>
  <si>
    <r>
      <t>Z</t>
    </r>
    <r>
      <rPr>
        <vertAlign val="subscript"/>
        <sz val="10"/>
        <color indexed="8"/>
        <rFont val="Arial"/>
        <family val="2"/>
      </rPr>
      <t>SD</t>
    </r>
  </si>
  <si>
    <t>KdSD</t>
  </si>
  <si>
    <t>b:a(550)</t>
  </si>
  <si>
    <t>bpstar</t>
  </si>
  <si>
    <t>phistar675</t>
  </si>
  <si>
    <t>m</t>
  </si>
  <si>
    <r>
      <t>m</t>
    </r>
    <r>
      <rPr>
        <vertAlign val="superscript"/>
        <sz val="10"/>
        <rFont val="Arial"/>
        <family val="2"/>
      </rPr>
      <t>-1</t>
    </r>
  </si>
  <si>
    <t>Secchi</t>
  </si>
  <si>
    <t>To Restore Defaults</t>
  </si>
  <si>
    <r>
      <t>a</t>
    </r>
    <r>
      <rPr>
        <vertAlign val="subscript"/>
        <sz val="10"/>
        <color indexed="8"/>
        <rFont val="Arial"/>
        <family val="2"/>
      </rPr>
      <t>min</t>
    </r>
    <r>
      <rPr>
        <sz val="10"/>
        <color indexed="8"/>
        <rFont val="Arial"/>
        <family val="2"/>
      </rPr>
      <t>750:a</t>
    </r>
    <r>
      <rPr>
        <vertAlign val="subscript"/>
        <sz val="10"/>
        <color indexed="8"/>
        <rFont val="Arial"/>
        <family val="2"/>
      </rPr>
      <t>min</t>
    </r>
    <r>
      <rPr>
        <sz val="10"/>
        <color indexed="8"/>
        <rFont val="Arial"/>
        <family val="2"/>
      </rPr>
      <t>440</t>
    </r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</si>
  <si>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(g TSS)</t>
    </r>
    <r>
      <rPr>
        <vertAlign val="superscript"/>
        <sz val="10"/>
        <rFont val="Arial"/>
        <family val="2"/>
      </rPr>
      <t>-1</t>
    </r>
  </si>
  <si>
    <t>Linear</t>
  </si>
  <si>
    <t>Curved</t>
  </si>
  <si>
    <t>Flin</t>
  </si>
  <si>
    <t>BBnorm</t>
  </si>
  <si>
    <r>
      <t>b</t>
    </r>
    <r>
      <rPr>
        <vertAlign val="subscript"/>
        <sz val="10"/>
        <rFont val="Arial"/>
        <family val="2"/>
      </rPr>
      <t>bp</t>
    </r>
  </si>
  <si>
    <t>Quadratic regression</t>
  </si>
  <si>
    <t>Interpolated from McKee et al. 2009</t>
  </si>
  <si>
    <t>Theta0</t>
  </si>
  <si>
    <r>
      <t>a</t>
    </r>
    <r>
      <rPr>
        <vertAlign val="subscript"/>
        <sz val="10"/>
        <rFont val="Arial"/>
        <family val="2"/>
      </rPr>
      <t>cdom</t>
    </r>
  </si>
  <si>
    <r>
      <t>b</t>
    </r>
    <r>
      <rPr>
        <vertAlign val="subscript"/>
        <sz val="10"/>
        <rFont val="Arial"/>
        <family val="2"/>
      </rPr>
      <t>w</t>
    </r>
  </si>
  <si>
    <r>
      <t>a</t>
    </r>
    <r>
      <rPr>
        <vertAlign val="subscript"/>
        <sz val="10"/>
        <rFont val="Arial"/>
        <family val="2"/>
      </rPr>
      <t>w</t>
    </r>
  </si>
  <si>
    <t>u</t>
  </si>
  <si>
    <t>Remote-sensing Parameters</t>
  </si>
  <si>
    <t>Lee_g0</t>
  </si>
  <si>
    <t>Lee_g1</t>
  </si>
  <si>
    <r>
      <t>r</t>
    </r>
    <r>
      <rPr>
        <vertAlign val="subscript"/>
        <sz val="10"/>
        <rFont val="Arial"/>
        <family val="2"/>
      </rPr>
      <t>rs</t>
    </r>
  </si>
  <si>
    <r>
      <t>R</t>
    </r>
    <r>
      <rPr>
        <vertAlign val="subscript"/>
        <sz val="10"/>
        <rFont val="Arial"/>
        <family val="2"/>
      </rPr>
      <t>rs</t>
    </r>
  </si>
  <si>
    <r>
      <t>K</t>
    </r>
    <r>
      <rPr>
        <vertAlign val="subscript"/>
        <sz val="10"/>
        <color indexed="8"/>
        <rFont val="Arial"/>
        <family val="2"/>
      </rPr>
      <t>d</t>
    </r>
    <r>
      <rPr>
        <sz val="10"/>
        <color indexed="8"/>
        <rFont val="Arial"/>
        <family val="2"/>
      </rPr>
      <t>PAR</t>
    </r>
  </si>
  <si>
    <t>degrees</t>
  </si>
  <si>
    <t>degrees (+) east</t>
  </si>
  <si>
    <t>Parameter</t>
  </si>
  <si>
    <t>Value</t>
  </si>
  <si>
    <t>Units</t>
  </si>
  <si>
    <t>alpha</t>
  </si>
  <si>
    <t>rho</t>
  </si>
  <si>
    <r>
      <t>K</t>
    </r>
    <r>
      <rPr>
        <vertAlign val="subscript"/>
        <sz val="10"/>
        <color indexed="8"/>
        <rFont val="Arial"/>
        <family val="2"/>
      </rPr>
      <t>d</t>
    </r>
    <r>
      <rPr>
        <sz val="10"/>
        <color indexed="8"/>
        <rFont val="Arial"/>
        <family val="2"/>
      </rPr>
      <t>Z</t>
    </r>
    <r>
      <rPr>
        <vertAlign val="subscript"/>
        <sz val="9"/>
        <color indexed="8"/>
        <rFont val="Arial"/>
        <family val="2"/>
      </rPr>
      <t>SD</t>
    </r>
  </si>
  <si>
    <t>NTU</t>
  </si>
  <si>
    <t>Site_ID</t>
  </si>
  <si>
    <t>Hour</t>
  </si>
  <si>
    <t>Depth</t>
  </si>
  <si>
    <t>mm1100</t>
  </si>
  <si>
    <t>mm300</t>
  </si>
  <si>
    <t>WB01</t>
  </si>
  <si>
    <t>WB02</t>
  </si>
  <si>
    <t>WB03</t>
  </si>
  <si>
    <t>WB04</t>
  </si>
  <si>
    <t>WB05</t>
  </si>
  <si>
    <t>WB06</t>
  </si>
  <si>
    <t>WB07</t>
  </si>
  <si>
    <t>WB08</t>
  </si>
  <si>
    <t>WB09</t>
  </si>
  <si>
    <t>WB10</t>
  </si>
  <si>
    <t>WB_mm300</t>
  </si>
  <si>
    <t>WB_mm1100</t>
  </si>
  <si>
    <t>WB-mm300</t>
  </si>
  <si>
    <t>WB-mm1100</t>
  </si>
  <si>
    <t>K01</t>
  </si>
  <si>
    <t>K02</t>
  </si>
  <si>
    <t>K03</t>
  </si>
  <si>
    <t>K04</t>
  </si>
  <si>
    <t>K05</t>
  </si>
  <si>
    <t>K06</t>
  </si>
  <si>
    <t>mm600</t>
  </si>
  <si>
    <t>mm1300</t>
  </si>
  <si>
    <t>K07</t>
  </si>
  <si>
    <t>K08</t>
  </si>
  <si>
    <t>K09</t>
  </si>
  <si>
    <t>K10</t>
  </si>
  <si>
    <t>K_mm1300</t>
  </si>
  <si>
    <t>K_mm600</t>
  </si>
  <si>
    <t>K-mm600</t>
  </si>
  <si>
    <t>k-mm1300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</si>
  <si>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</si>
  <si>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</si>
  <si>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</si>
  <si>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</si>
  <si>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</si>
  <si>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</si>
  <si>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</si>
  <si>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</si>
  <si>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</si>
  <si>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</si>
  <si>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CB_mm900</t>
  </si>
  <si>
    <t>CB_mm100</t>
  </si>
  <si>
    <t>EK01</t>
  </si>
  <si>
    <t>EK02</t>
  </si>
  <si>
    <t>EK03</t>
  </si>
  <si>
    <t>EK04</t>
  </si>
  <si>
    <t>EK05</t>
  </si>
  <si>
    <t>EK06</t>
  </si>
  <si>
    <t>EK07</t>
  </si>
  <si>
    <t>EK08</t>
  </si>
  <si>
    <t>EK09</t>
  </si>
  <si>
    <t>EK10</t>
  </si>
  <si>
    <t>EK11</t>
  </si>
  <si>
    <t>EK_mm100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</si>
  <si>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</si>
  <si>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</si>
  <si>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</si>
  <si>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</si>
  <si>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</si>
  <si>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</si>
  <si>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</si>
  <si>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</si>
  <si>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</si>
  <si>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</si>
  <si>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</si>
  <si>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E_mm100</t>
  </si>
  <si>
    <t>Ez1.5</t>
  </si>
  <si>
    <t>EPAR1.5</t>
  </si>
  <si>
    <t>EPARerr</t>
  </si>
  <si>
    <t>Kd400</t>
  </si>
  <si>
    <t>Kd405</t>
  </si>
  <si>
    <t>Kd410</t>
  </si>
  <si>
    <t>Kd415</t>
  </si>
  <si>
    <t>Kd420</t>
  </si>
  <si>
    <t>Kd425</t>
  </si>
  <si>
    <t>Kd430</t>
  </si>
  <si>
    <t>Kd435</t>
  </si>
  <si>
    <t>Kd440</t>
  </si>
  <si>
    <t>Kd445</t>
  </si>
  <si>
    <t>Kd450</t>
  </si>
  <si>
    <t>Kd455</t>
  </si>
  <si>
    <t>Kd460</t>
  </si>
  <si>
    <t>Kd465</t>
  </si>
  <si>
    <t>Kd470</t>
  </si>
  <si>
    <t>Kd475</t>
  </si>
  <si>
    <t>Kd480</t>
  </si>
  <si>
    <t>Kd485</t>
  </si>
  <si>
    <t>Kd490</t>
  </si>
  <si>
    <t>Kd495</t>
  </si>
  <si>
    <t>Kd500</t>
  </si>
  <si>
    <t>Kd505</t>
  </si>
  <si>
    <t>Kd510</t>
  </si>
  <si>
    <t>Kd515</t>
  </si>
  <si>
    <t>Kd520</t>
  </si>
  <si>
    <t>Kd525</t>
  </si>
  <si>
    <t>Kd530</t>
  </si>
  <si>
    <t>Kd535</t>
  </si>
  <si>
    <t>Kd540</t>
  </si>
  <si>
    <t>Kd545</t>
  </si>
  <si>
    <t>Kd550</t>
  </si>
  <si>
    <t>Kd555</t>
  </si>
  <si>
    <t>Kd560</t>
  </si>
  <si>
    <t>Kd565</t>
  </si>
  <si>
    <t>Kd570</t>
  </si>
  <si>
    <t>Kd575</t>
  </si>
  <si>
    <t>Kd580</t>
  </si>
  <si>
    <t>Kd585</t>
  </si>
  <si>
    <t>Kd590</t>
  </si>
  <si>
    <t>Kd595</t>
  </si>
  <si>
    <t>Kd600</t>
  </si>
  <si>
    <t>Kd605</t>
  </si>
  <si>
    <t>Kd610</t>
  </si>
  <si>
    <t>Kd615</t>
  </si>
  <si>
    <t>Kd620</t>
  </si>
  <si>
    <t>Kd625</t>
  </si>
  <si>
    <t>Kd630</t>
  </si>
  <si>
    <t>Kd635</t>
  </si>
  <si>
    <t>Kd640</t>
  </si>
  <si>
    <t>Kd645</t>
  </si>
  <si>
    <t>Kd650</t>
  </si>
  <si>
    <t>Kd655</t>
  </si>
  <si>
    <t>Kd660</t>
  </si>
  <si>
    <t>Kd665</t>
  </si>
  <si>
    <t>Kd670</t>
  </si>
  <si>
    <t>Kd675</t>
  </si>
  <si>
    <t>Kd680</t>
  </si>
  <si>
    <t>Kd685</t>
  </si>
  <si>
    <t>Kd690</t>
  </si>
  <si>
    <t>Kd695</t>
  </si>
  <si>
    <t>Kd700</t>
  </si>
  <si>
    <t>Kd705</t>
  </si>
  <si>
    <t>Kd710</t>
  </si>
  <si>
    <t>Kd715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</si>
</sst>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7">
    <font>
      <sz val="10"/>
      <name val="Arial"/>
    </font>
    <font>
      <sz val="10"/>
      <color indexed="8"/>
      <name val="Arial"/>
      <family val="2"/>
    </font>
    <font>
      <vertAlign val="superscript"/>
      <sz val="10"/>
      <name val="Arial"/>
      <family val="2"/>
    </font>
    <font>
      <vertAlign val="subscript"/>
      <sz val="10"/>
      <color indexed="8"/>
      <name val="Arial"/>
      <family val="2"/>
    </font>
    <font>
      <vertAlign val="superscript"/>
      <sz val="10"/>
      <color indexed="8"/>
      <name val="Arial"/>
      <family val="2"/>
    </font>
    <font>
      <vertAlign val="subscript"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9"/>
      <color indexed="14"/>
      <name val="Geneva"/>
    </font>
    <font>
      <b/>
      <sz val="9"/>
      <color indexed="12"/>
      <name val="Geneva"/>
    </font>
    <font>
      <b/>
      <sz val="9"/>
      <color indexed="10"/>
      <name val="Geneva"/>
    </font>
    <font>
      <sz val="9"/>
      <color indexed="12"/>
      <name val="Geneva"/>
    </font>
    <font>
      <b/>
      <u/>
      <sz val="12"/>
      <color indexed="10"/>
      <name val="Arial"/>
      <family val="2"/>
    </font>
    <font>
      <u/>
      <sz val="9"/>
      <color indexed="12"/>
      <name val="Geneva"/>
    </font>
    <font>
      <sz val="10"/>
      <color indexed="10"/>
      <name val="Geneva"/>
    </font>
    <font>
      <sz val="9"/>
      <color indexed="10"/>
      <name val="Geneva"/>
    </font>
    <font>
      <u/>
      <sz val="10"/>
      <color indexed="12"/>
      <name val="Arial"/>
      <family val="2"/>
    </font>
    <font>
      <sz val="10"/>
      <color indexed="12"/>
      <name val="Geneva"/>
    </font>
    <font>
      <b/>
      <u/>
      <sz val="10"/>
      <color indexed="12"/>
      <name val="Geneva"/>
    </font>
    <font>
      <sz val="10"/>
      <name val="Geneva"/>
    </font>
    <font>
      <sz val="9"/>
      <name val="Geneva"/>
    </font>
    <font>
      <sz val="10"/>
      <color indexed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vertAlign val="subscript"/>
      <sz val="9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63">
    <xf numFmtId="0" fontId="0" fillId="0" borderId="0" xfId="0"/>
    <xf numFmtId="164" fontId="0" fillId="0" borderId="0" xfId="0" applyNumberFormat="1"/>
    <xf numFmtId="11" fontId="0" fillId="0" borderId="0" xfId="0" applyNumberFormat="1"/>
    <xf numFmtId="0" fontId="1" fillId="2" borderId="1" xfId="2" applyFill="1" applyBorder="1" applyAlignment="1">
      <alignment horizontal="center"/>
    </xf>
    <xf numFmtId="0" fontId="1" fillId="2" borderId="2" xfId="2" applyFill="1" applyBorder="1" applyAlignment="1">
      <alignment horizontal="center"/>
    </xf>
    <xf numFmtId="0" fontId="10" fillId="0" borderId="0" xfId="0" applyFont="1" applyAlignment="1">
      <alignment horizontal="center" wrapText="1"/>
    </xf>
    <xf numFmtId="0" fontId="11" fillId="0" borderId="0" xfId="0" applyFont="1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12" fillId="0" borderId="0" xfId="0" applyFont="1" applyAlignment="1" applyProtection="1">
      <alignment horizontal="center" wrapText="1"/>
      <protection locked="0"/>
    </xf>
    <xf numFmtId="0" fontId="13" fillId="0" borderId="0" xfId="0" applyFont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15" fillId="0" borderId="0" xfId="0" applyFont="1" applyAlignment="1">
      <alignment horizontal="right"/>
    </xf>
    <xf numFmtId="0" fontId="13" fillId="0" borderId="0" xfId="0" applyFont="1" applyAlignment="1" applyProtection="1">
      <alignment horizontal="center"/>
      <protection locked="0"/>
    </xf>
    <xf numFmtId="165" fontId="16" fillId="0" borderId="0" xfId="0" applyNumberFormat="1" applyFont="1" applyAlignment="1">
      <alignment horizontal="center" vertical="center"/>
    </xf>
    <xf numFmtId="0" fontId="17" fillId="0" borderId="0" xfId="0" applyFont="1"/>
    <xf numFmtId="0" fontId="0" fillId="0" borderId="0" xfId="0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0" fontId="18" fillId="0" borderId="0" xfId="0" applyFont="1" applyAlignment="1" applyProtection="1">
      <alignment horizontal="right"/>
      <protection locked="0"/>
    </xf>
    <xf numFmtId="2" fontId="0" fillId="0" borderId="0" xfId="0" applyNumberFormat="1" applyAlignment="1" applyProtection="1">
      <alignment horizontal="center"/>
      <protection locked="0"/>
    </xf>
    <xf numFmtId="2" fontId="19" fillId="0" borderId="0" xfId="0" applyNumberFormat="1" applyFont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>
      <alignment horizontal="right" wrapText="1"/>
    </xf>
    <xf numFmtId="2" fontId="13" fillId="0" borderId="0" xfId="0" applyNumberFormat="1" applyFont="1" applyAlignment="1" applyProtection="1">
      <alignment horizontal="left"/>
      <protection locked="0"/>
    </xf>
    <xf numFmtId="0" fontId="15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left"/>
      <protection locked="0"/>
    </xf>
    <xf numFmtId="0" fontId="1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65" fontId="17" fillId="0" borderId="0" xfId="0" applyNumberFormat="1" applyFont="1"/>
    <xf numFmtId="0" fontId="0" fillId="0" borderId="0" xfId="0" applyAlignment="1">
      <alignment horizontal="right"/>
    </xf>
    <xf numFmtId="165" fontId="0" fillId="0" borderId="0" xfId="0" applyNumberFormat="1" applyAlignment="1">
      <alignment horizontal="center"/>
    </xf>
    <xf numFmtId="0" fontId="19" fillId="0" borderId="0" xfId="0" applyFont="1" applyAlignment="1" applyProtection="1">
      <alignment horizontal="centerContinuous"/>
      <protection locked="0"/>
    </xf>
    <xf numFmtId="0" fontId="13" fillId="0" borderId="0" xfId="0" applyFont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right"/>
      <protection locked="0"/>
    </xf>
    <xf numFmtId="0" fontId="21" fillId="0" borderId="0" xfId="0" applyFont="1" applyAlignment="1" applyProtection="1">
      <alignment horizontal="centerContinuous"/>
      <protection locked="0"/>
    </xf>
    <xf numFmtId="1" fontId="22" fillId="0" borderId="0" xfId="0" applyNumberFormat="1" applyFont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0" fontId="22" fillId="0" borderId="0" xfId="0" applyFont="1" applyAlignment="1" applyProtection="1">
      <alignment horizontal="center"/>
      <protection locked="0"/>
    </xf>
    <xf numFmtId="2" fontId="22" fillId="0" borderId="0" xfId="0" applyNumberFormat="1" applyFont="1" applyProtection="1">
      <protection locked="0"/>
    </xf>
    <xf numFmtId="0" fontId="20" fillId="0" borderId="0" xfId="0" applyFont="1"/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1" fillId="2" borderId="1" xfId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3" fillId="0" borderId="0" xfId="0" applyFont="1"/>
    <xf numFmtId="2" fontId="23" fillId="0" borderId="0" xfId="0" applyNumberFormat="1" applyFont="1"/>
    <xf numFmtId="0" fontId="8" fillId="0" borderId="0" xfId="0" applyFont="1"/>
    <xf numFmtId="0" fontId="1" fillId="2" borderId="0" xfId="2" applyFill="1" applyAlignment="1">
      <alignment horizontal="center"/>
    </xf>
    <xf numFmtId="0" fontId="1" fillId="2" borderId="0" xfId="2" applyFill="1" applyAlignment="1">
      <alignment horizontal="left"/>
    </xf>
    <xf numFmtId="0" fontId="24" fillId="0" borderId="0" xfId="0" applyFont="1" applyAlignment="1">
      <alignment horizontal="center"/>
    </xf>
    <xf numFmtId="0" fontId="8" fillId="3" borderId="0" xfId="0" applyFont="1" applyFill="1"/>
    <xf numFmtId="0" fontId="25" fillId="0" borderId="0" xfId="0" applyFont="1"/>
    <xf numFmtId="0" fontId="0" fillId="0" borderId="0" xfId="0" applyAlignment="1">
      <alignment horizontal="center"/>
    </xf>
    <xf numFmtId="0" fontId="0" fillId="0" borderId="0" xfId="0" applyFill="1"/>
    <xf numFmtId="0" fontId="25" fillId="0" borderId="0" xfId="0" applyFont="1" applyFill="1"/>
  </cellXfs>
  <cellStyles count="3">
    <cellStyle name="Normal" xfId="0" builtinId="0"/>
    <cellStyle name="Normal_Sheet1" xfId="1" xr:uid="{00000000-0005-0000-0000-000001000000}"/>
    <cellStyle name="Normal_WQ data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833458317710291"/>
          <c:y val="3.91304347826086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04796505291182"/>
          <c:y val="0.23913043478260873"/>
          <c:w val="0.61607321914881874"/>
          <c:h val="0.58260869565217399"/>
        </c:manualLayout>
      </c:layout>
      <c:scatterChart>
        <c:scatterStyle val="lineMarker"/>
        <c:varyColors val="0"/>
        <c:ser>
          <c:idx val="0"/>
          <c:order val="0"/>
          <c:tx>
            <c:v>aphi*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'Phi calc'!$J$2:$J$65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'Phi calc'!$K$2:$K$65</c:f>
              <c:numCache>
                <c:formatCode>General</c:formatCode>
                <c:ptCount val="64"/>
                <c:pt idx="0">
                  <c:v>1.1848142593663955</c:v>
                </c:pt>
                <c:pt idx="1">
                  <c:v>1.2321307432928261</c:v>
                </c:pt>
                <c:pt idx="2">
                  <c:v>1.2599930819375915</c:v>
                </c:pt>
                <c:pt idx="3">
                  <c:v>1.32210117572181</c:v>
                </c:pt>
                <c:pt idx="4">
                  <c:v>1.3509181670720061</c:v>
                </c:pt>
                <c:pt idx="5">
                  <c:v>1.3672934236975967</c:v>
                </c:pt>
                <c:pt idx="6">
                  <c:v>1.4243589123670286</c:v>
                </c:pt>
                <c:pt idx="7">
                  <c:v>1.4645065313428163</c:v>
                </c:pt>
                <c:pt idx="8">
                  <c:v>1.473699463237615</c:v>
                </c:pt>
                <c:pt idx="9">
                  <c:v>1.4049571471420887</c:v>
                </c:pt>
                <c:pt idx="10">
                  <c:v>1.3089023405966107</c:v>
                </c:pt>
                <c:pt idx="11">
                  <c:v>1.2568746882197421</c:v>
                </c:pt>
                <c:pt idx="12">
                  <c:v>1.2290848505974175</c:v>
                </c:pt>
                <c:pt idx="13">
                  <c:v>1.2030795464188644</c:v>
                </c:pt>
                <c:pt idx="14">
                  <c:v>1.1552333717824681</c:v>
                </c:pt>
                <c:pt idx="15">
                  <c:v>1.0907921213549923</c:v>
                </c:pt>
                <c:pt idx="16">
                  <c:v>1.028325194852775</c:v>
                </c:pt>
                <c:pt idx="17">
                  <c:v>0.98590952064967274</c:v>
                </c:pt>
                <c:pt idx="18">
                  <c:v>0.94215918770909401</c:v>
                </c:pt>
                <c:pt idx="19">
                  <c:v>0.89591840832410086</c:v>
                </c:pt>
                <c:pt idx="20">
                  <c:v>0.85652848530252035</c:v>
                </c:pt>
                <c:pt idx="21">
                  <c:v>0.80331281760084561</c:v>
                </c:pt>
                <c:pt idx="22">
                  <c:v>0.74622439306239285</c:v>
                </c:pt>
                <c:pt idx="23">
                  <c:v>0.68259435208665797</c:v>
                </c:pt>
                <c:pt idx="24">
                  <c:v>0.63512307563234027</c:v>
                </c:pt>
                <c:pt idx="25">
                  <c:v>0.59545691477382423</c:v>
                </c:pt>
                <c:pt idx="26">
                  <c:v>0.56343743003485813</c:v>
                </c:pt>
                <c:pt idx="27">
                  <c:v>0.53200081285477785</c:v>
                </c:pt>
                <c:pt idx="28">
                  <c:v>0.50532688558391281</c:v>
                </c:pt>
                <c:pt idx="29">
                  <c:v>0.47600376132236877</c:v>
                </c:pt>
                <c:pt idx="30">
                  <c:v>0.43303116870330088</c:v>
                </c:pt>
                <c:pt idx="31">
                  <c:v>0.41395646095678884</c:v>
                </c:pt>
                <c:pt idx="32">
                  <c:v>0.36415637538317797</c:v>
                </c:pt>
                <c:pt idx="33">
                  <c:v>0.34868057971929922</c:v>
                </c:pt>
                <c:pt idx="34">
                  <c:v>0.32783637311397879</c:v>
                </c:pt>
                <c:pt idx="35">
                  <c:v>0.31744122169448336</c:v>
                </c:pt>
                <c:pt idx="36">
                  <c:v>0.32025431475285115</c:v>
                </c:pt>
                <c:pt idx="37">
                  <c:v>0.32337376951353725</c:v>
                </c:pt>
                <c:pt idx="38">
                  <c:v>0.31953943416532943</c:v>
                </c:pt>
                <c:pt idx="39">
                  <c:v>0.31000566519379874</c:v>
                </c:pt>
                <c:pt idx="40">
                  <c:v>0.29416800193896858</c:v>
                </c:pt>
                <c:pt idx="41">
                  <c:v>0.296492579694002</c:v>
                </c:pt>
                <c:pt idx="42">
                  <c:v>0.3217919667694325</c:v>
                </c:pt>
                <c:pt idx="43">
                  <c:v>0.34805657461070821</c:v>
                </c:pt>
                <c:pt idx="44">
                  <c:v>0.36878799133335488</c:v>
                </c:pt>
                <c:pt idx="45">
                  <c:v>0.37483943248179152</c:v>
                </c:pt>
                <c:pt idx="46">
                  <c:v>0.38005081552225956</c:v>
                </c:pt>
                <c:pt idx="47">
                  <c:v>0.38794839165927425</c:v>
                </c:pt>
                <c:pt idx="48">
                  <c:v>0.38190933043443892</c:v>
                </c:pt>
                <c:pt idx="49">
                  <c:v>0.38222361160312091</c:v>
                </c:pt>
                <c:pt idx="50">
                  <c:v>0.39835756439437214</c:v>
                </c:pt>
                <c:pt idx="51">
                  <c:v>0.45061134129459696</c:v>
                </c:pt>
                <c:pt idx="52">
                  <c:v>0.58588149218667385</c:v>
                </c:pt>
                <c:pt idx="53">
                  <c:v>0.77247777496335979</c:v>
                </c:pt>
                <c:pt idx="54">
                  <c:v>0.94543861409586127</c:v>
                </c:pt>
                <c:pt idx="55">
                  <c:v>1.0023549793658522</c:v>
                </c:pt>
                <c:pt idx="56">
                  <c:v>0.92116087692834858</c:v>
                </c:pt>
                <c:pt idx="57">
                  <c:v>0.71178426512989668</c:v>
                </c:pt>
                <c:pt idx="58">
                  <c:v>0.46256168588527607</c:v>
                </c:pt>
                <c:pt idx="59">
                  <c:v>0.2759839632116855</c:v>
                </c:pt>
                <c:pt idx="60">
                  <c:v>0.15735171650259464</c:v>
                </c:pt>
                <c:pt idx="61">
                  <c:v>0.11144374371564632</c:v>
                </c:pt>
                <c:pt idx="62">
                  <c:v>6.7318384120521532E-2</c:v>
                </c:pt>
                <c:pt idx="63">
                  <c:v>5.3102492960974343E-2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65-4329-A6C3-F044BD02D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36512"/>
        <c:axId val="72338048"/>
      </c:scatterChart>
      <c:valAx>
        <c:axId val="72336512"/>
        <c:scaling>
          <c:orientation val="minMax"/>
          <c:max val="720"/>
          <c:min val="4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338048"/>
        <c:crosses val="autoZero"/>
        <c:crossBetween val="midCat"/>
      </c:valAx>
      <c:valAx>
        <c:axId val="72338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3365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0059742532183464"/>
          <c:y val="0.48695652173913051"/>
          <c:w val="0.97619328833895769"/>
          <c:h val="0.573913043478260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103919873517284"/>
          <c:y val="3.91304347826086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69453399500128"/>
          <c:y val="0.23913043478260873"/>
          <c:w val="0.5875379432752561"/>
          <c:h val="0.58260869565217399"/>
        </c:manualLayout>
      </c:layout>
      <c:scatterChart>
        <c:scatterStyle val="lineMarker"/>
        <c:varyColors val="0"/>
        <c:ser>
          <c:idx val="0"/>
          <c:order val="0"/>
          <c:tx>
            <c:v>bpstar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bnorm!$A$2:$A$65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bnorm!$C$2:$C$65</c:f>
              <c:numCache>
                <c:formatCode>General</c:formatCode>
                <c:ptCount val="64"/>
                <c:pt idx="0">
                  <c:v>1.353822497035545</c:v>
                </c:pt>
                <c:pt idx="1">
                  <c:v>1.3414509522852851</c:v>
                </c:pt>
                <c:pt idx="2">
                  <c:v>1.3293421953815798</c:v>
                </c:pt>
                <c:pt idx="3">
                  <c:v>1.3174875405645348</c:v>
                </c:pt>
                <c:pt idx="4">
                  <c:v>1.3058786893013532</c:v>
                </c:pt>
                <c:pt idx="5">
                  <c:v>1.294507708663704</c:v>
                </c:pt>
                <c:pt idx="6">
                  <c:v>1.2833670111502473</c:v>
                </c:pt>
                <c:pt idx="7">
                  <c:v>1.2724493358422015</c:v>
                </c:pt>
                <c:pt idx="8">
                  <c:v>1.2617477307897189</c:v>
                </c:pt>
                <c:pt idx="9">
                  <c:v>1.251255536535731</c:v>
                </c:pt>
                <c:pt idx="10">
                  <c:v>1.2409663706919702</c:v>
                </c:pt>
                <c:pt idx="11">
                  <c:v>1.2308741134891319</c:v>
                </c:pt>
                <c:pt idx="12">
                  <c:v>1.2209728942297231</c:v>
                </c:pt>
                <c:pt idx="13">
                  <c:v>1.2112570785780883</c:v>
                </c:pt>
                <c:pt idx="14">
                  <c:v>1.2017212566275126</c:v>
                </c:pt>
                <c:pt idx="15">
                  <c:v>1.1923602316892032</c:v>
                </c:pt>
                <c:pt idx="16">
                  <c:v>1.1831690097523988</c:v>
                </c:pt>
                <c:pt idx="17">
                  <c:v>1.1741427895689258</c:v>
                </c:pt>
                <c:pt idx="18">
                  <c:v>1.165276953319196</c:v>
                </c:pt>
                <c:pt idx="19">
                  <c:v>1.1565670578200151</c:v>
                </c:pt>
                <c:pt idx="20">
                  <c:v>1.1480088262376444</c:v>
                </c:pt>
                <c:pt idx="21">
                  <c:v>1.1395981402723567</c:v>
                </c:pt>
                <c:pt idx="22">
                  <c:v>1.1313310327832939</c:v>
                </c:pt>
                <c:pt idx="23">
                  <c:v>1.1232036808247872</c:v>
                </c:pt>
                <c:pt idx="24">
                  <c:v>1.1152123990674336</c:v>
                </c:pt>
                <c:pt idx="25">
                  <c:v>1.1073536335792171</c:v>
                </c:pt>
                <c:pt idx="26">
                  <c:v>1.0996239559437444</c:v>
                </c:pt>
                <c:pt idx="27">
                  <c:v>1.0920200576943417</c:v>
                </c:pt>
                <c:pt idx="28">
                  <c:v>1.084538745044282</c:v>
                </c:pt>
                <c:pt idx="29">
                  <c:v>1.0771769338948065</c:v>
                </c:pt>
                <c:pt idx="30">
                  <c:v>1.0699316451039043</c:v>
                </c:pt>
                <c:pt idx="31">
                  <c:v>1.0628</c:v>
                </c:pt>
                <c:pt idx="32">
                  <c:v>1.0557792161257968</c:v>
                </c:pt>
                <c:pt idx="33">
                  <c:v>1.0488666031985303</c:v>
                </c:pt>
                <c:pt idx="34">
                  <c:v>1.0420595592738293</c:v>
                </c:pt>
                <c:pt idx="35">
                  <c:v>1.0353555671012331</c:v>
                </c:pt>
                <c:pt idx="36">
                  <c:v>1.0287521906602246</c:v>
                </c:pt>
                <c:pt idx="37">
                  <c:v>1.0222470718663663</c:v>
                </c:pt>
                <c:pt idx="38">
                  <c:v>1.0158379274378124</c:v>
                </c:pt>
                <c:pt idx="39">
                  <c:v>1.0095225459131096</c:v>
                </c:pt>
                <c:pt idx="40">
                  <c:v>1.0032987848117765</c:v>
                </c:pt>
                <c:pt idx="41">
                  <c:v>0.99716456792970398</c:v>
                </c:pt>
                <c:pt idx="42">
                  <c:v>0.99111788276191859</c:v>
                </c:pt>
                <c:pt idx="43">
                  <c:v>0.98515677804572688</c:v>
                </c:pt>
                <c:pt idx="44">
                  <c:v>0.97927936141768801</c:v>
                </c:pt>
                <c:pt idx="45">
                  <c:v>0.97348379717827316</c:v>
                </c:pt>
                <c:pt idx="46">
                  <c:v>0.96776830415844661</c:v>
                </c:pt>
                <c:pt idx="47">
                  <c:v>0.96213115368275304</c:v>
                </c:pt>
                <c:pt idx="48">
                  <c:v>0.95657066762382625</c:v>
                </c:pt>
                <c:pt idx="49">
                  <c:v>0.95108521654353795</c:v>
                </c:pt>
                <c:pt idx="50">
                  <c:v>0.94567321791629078</c:v>
                </c:pt>
                <c:pt idx="51">
                  <c:v>0.94033313443022593</c:v>
                </c:pt>
                <c:pt idx="52">
                  <c:v>0.93506347236236287</c:v>
                </c:pt>
                <c:pt idx="53">
                  <c:v>0.9298627800239222</c:v>
                </c:pt>
                <c:pt idx="54">
                  <c:v>0.92472964627229848</c:v>
                </c:pt>
                <c:pt idx="55">
                  <c:v>0.91966269908635212</c:v>
                </c:pt>
                <c:pt idx="56">
                  <c:v>0.91466060420187956</c:v>
                </c:pt>
                <c:pt idx="57">
                  <c:v>0.90972206380430087</c:v>
                </c:pt>
                <c:pt idx="58">
                  <c:v>0.90484581527576458</c:v>
                </c:pt>
                <c:pt idx="59">
                  <c:v>0.90003062999403172</c:v>
                </c:pt>
                <c:pt idx="60">
                  <c:v>0.8952753121806436</c:v>
                </c:pt>
                <c:pt idx="61">
                  <c:v>0.89057869779601451</c:v>
                </c:pt>
                <c:pt idx="62">
                  <c:v>0.88593965347922199</c:v>
                </c:pt>
                <c:pt idx="63">
                  <c:v>0.88135707553038489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35-45F4-81AD-9874B3A83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196736"/>
        <c:axId val="168206720"/>
      </c:scatterChart>
      <c:valAx>
        <c:axId val="168196736"/>
        <c:scaling>
          <c:orientation val="minMax"/>
          <c:max val="720"/>
          <c:min val="4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206720"/>
        <c:crosses val="autoZero"/>
        <c:crossBetween val="midCat"/>
      </c:valAx>
      <c:valAx>
        <c:axId val="168206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196736"/>
        <c:crosses val="autoZero"/>
        <c:crossBetween val="midCat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7151459925076127"/>
          <c:y val="0.48695652173913051"/>
          <c:w val="0.97626268526523186"/>
          <c:h val="0.573913043478260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Absorption</a:t>
            </a:r>
          </a:p>
        </c:rich>
      </c:tx>
      <c:layout>
        <c:manualLayout>
          <c:xMode val="edge"/>
          <c:yMode val="edge"/>
          <c:x val="0.40909196956441057"/>
          <c:y val="4.065040650406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56604266799512"/>
          <c:y val="0.23170823690071179"/>
          <c:w val="0.60353684189759371"/>
          <c:h val="0.512197155254204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Spectra!$B$1</c:f>
              <c:strCache>
                <c:ptCount val="1"/>
                <c:pt idx="0">
                  <c:v>aw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Spectra!$A$2:$A$65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Spectra!$B$2:$B$65</c:f>
              <c:numCache>
                <c:formatCode>General</c:formatCode>
                <c:ptCount val="64"/>
                <c:pt idx="0">
                  <c:v>6.6299999999999996E-3</c:v>
                </c:pt>
                <c:pt idx="1">
                  <c:v>5.3E-3</c:v>
                </c:pt>
                <c:pt idx="2">
                  <c:v>4.7299999999999998E-3</c:v>
                </c:pt>
                <c:pt idx="3">
                  <c:v>4.4400000000000004E-3</c:v>
                </c:pt>
                <c:pt idx="4">
                  <c:v>4.5399999999999998E-3</c:v>
                </c:pt>
                <c:pt idx="5">
                  <c:v>4.7800000000000004E-3</c:v>
                </c:pt>
                <c:pt idx="6">
                  <c:v>4.9500000000000004E-3</c:v>
                </c:pt>
                <c:pt idx="7">
                  <c:v>5.3E-3</c:v>
                </c:pt>
                <c:pt idx="8">
                  <c:v>6.3499999999999997E-3</c:v>
                </c:pt>
                <c:pt idx="9">
                  <c:v>7.5100000000000002E-3</c:v>
                </c:pt>
                <c:pt idx="10">
                  <c:v>9.2200000000000008E-3</c:v>
                </c:pt>
                <c:pt idx="11">
                  <c:v>9.6200000000000001E-3</c:v>
                </c:pt>
                <c:pt idx="12">
                  <c:v>9.7900000000000001E-3</c:v>
                </c:pt>
                <c:pt idx="13">
                  <c:v>1.0109999999999999E-2</c:v>
                </c:pt>
                <c:pt idx="14">
                  <c:v>1.06E-2</c:v>
                </c:pt>
                <c:pt idx="15">
                  <c:v>1.14E-2</c:v>
                </c:pt>
                <c:pt idx="16">
                  <c:v>1.2699999999999999E-2</c:v>
                </c:pt>
                <c:pt idx="17">
                  <c:v>1.3599999999999999E-2</c:v>
                </c:pt>
                <c:pt idx="18">
                  <c:v>1.4999999999999999E-2</c:v>
                </c:pt>
                <c:pt idx="19">
                  <c:v>1.7299999999999999E-2</c:v>
                </c:pt>
                <c:pt idx="20">
                  <c:v>2.0400000000000001E-2</c:v>
                </c:pt>
                <c:pt idx="21">
                  <c:v>2.5600000000000001E-2</c:v>
                </c:pt>
                <c:pt idx="22">
                  <c:v>3.2500000000000001E-2</c:v>
                </c:pt>
                <c:pt idx="23">
                  <c:v>3.9600000000000003E-2</c:v>
                </c:pt>
                <c:pt idx="24">
                  <c:v>4.0899999999999999E-2</c:v>
                </c:pt>
                <c:pt idx="25">
                  <c:v>4.1700000000000001E-2</c:v>
                </c:pt>
                <c:pt idx="26">
                  <c:v>4.3400000000000001E-2</c:v>
                </c:pt>
                <c:pt idx="27">
                  <c:v>4.5199999999999997E-2</c:v>
                </c:pt>
                <c:pt idx="28" formatCode="0.0000">
                  <c:v>4.7399999999999998E-2</c:v>
                </c:pt>
                <c:pt idx="29" formatCode="0.0000">
                  <c:v>5.11E-2</c:v>
                </c:pt>
                <c:pt idx="30" formatCode="0.0000">
                  <c:v>5.6500000000000002E-2</c:v>
                </c:pt>
                <c:pt idx="31" formatCode="0.0000">
                  <c:v>5.96E-2</c:v>
                </c:pt>
                <c:pt idx="32" formatCode="0.0000">
                  <c:v>6.1899999999999997E-2</c:v>
                </c:pt>
                <c:pt idx="33" formatCode="0.0000">
                  <c:v>6.4199999999999993E-2</c:v>
                </c:pt>
                <c:pt idx="34" formatCode="0.0000">
                  <c:v>6.9500000000000006E-2</c:v>
                </c:pt>
                <c:pt idx="35" formatCode="0.0000">
                  <c:v>7.7200000000000005E-2</c:v>
                </c:pt>
                <c:pt idx="36" formatCode="0.0000">
                  <c:v>8.9599999999999999E-2</c:v>
                </c:pt>
                <c:pt idx="37" formatCode="0.0000">
                  <c:v>0.11</c:v>
                </c:pt>
                <c:pt idx="38" formatCode="0.0000">
                  <c:v>0.1351</c:v>
                </c:pt>
                <c:pt idx="39" formatCode="0.0000">
                  <c:v>0.16719999999999999</c:v>
                </c:pt>
                <c:pt idx="40" formatCode="0.0000">
                  <c:v>0.22239999999999999</c:v>
                </c:pt>
                <c:pt idx="41" formatCode="0.0000">
                  <c:v>0.25569999999999998</c:v>
                </c:pt>
                <c:pt idx="42" formatCode="0.0000">
                  <c:v>0.26440000000000002</c:v>
                </c:pt>
                <c:pt idx="43" formatCode="0.0000">
                  <c:v>0.26779999999999998</c:v>
                </c:pt>
                <c:pt idx="44" formatCode="0.0000">
                  <c:v>0.27550000000000002</c:v>
                </c:pt>
                <c:pt idx="45" formatCode="0.0000">
                  <c:v>0.28339999999999999</c:v>
                </c:pt>
                <c:pt idx="46" formatCode="0.0000">
                  <c:v>0.29160000000000003</c:v>
                </c:pt>
                <c:pt idx="47" formatCode="0.0000">
                  <c:v>0.30120000000000002</c:v>
                </c:pt>
                <c:pt idx="48" formatCode="0.0000">
                  <c:v>0.31080000000000002</c:v>
                </c:pt>
                <c:pt idx="49" formatCode="0.0000">
                  <c:v>0.32500000000000001</c:v>
                </c:pt>
                <c:pt idx="50" formatCode="0.0000">
                  <c:v>0.34</c:v>
                </c:pt>
                <c:pt idx="51" formatCode="0.0000">
                  <c:v>0.371</c:v>
                </c:pt>
                <c:pt idx="52" formatCode="0.0000">
                  <c:v>0.41</c:v>
                </c:pt>
                <c:pt idx="53" formatCode="0.0000">
                  <c:v>0.42899999999999999</c:v>
                </c:pt>
                <c:pt idx="54" formatCode="0.0000">
                  <c:v>0.439</c:v>
                </c:pt>
                <c:pt idx="55" formatCode="0.0000">
                  <c:v>0.44800000000000001</c:v>
                </c:pt>
                <c:pt idx="56" formatCode="0.0000">
                  <c:v>0.46500000000000002</c:v>
                </c:pt>
                <c:pt idx="57" formatCode="0.0000">
                  <c:v>0.48599999999999999</c:v>
                </c:pt>
                <c:pt idx="58" formatCode="0.0000">
                  <c:v>0.51600000000000001</c:v>
                </c:pt>
                <c:pt idx="59" formatCode="0.0000">
                  <c:v>0.55900000000000005</c:v>
                </c:pt>
                <c:pt idx="60" formatCode="0.0000">
                  <c:v>0.624</c:v>
                </c:pt>
                <c:pt idx="61" formatCode="0.0000">
                  <c:v>0.70399999999999996</c:v>
                </c:pt>
                <c:pt idx="62" formatCode="0.0000">
                  <c:v>0.82699999999999996</c:v>
                </c:pt>
                <c:pt idx="63" formatCode="0.0000">
                  <c:v>1.0069999999999999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F9-4033-819E-E041D9E76E20}"/>
            </c:ext>
          </c:extLst>
        </c:ser>
        <c:ser>
          <c:idx val="1"/>
          <c:order val="1"/>
          <c:tx>
            <c:v>CDOM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Spectra!$A$2:$A$65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Spectra!$D$2:$D$65</c:f>
              <c:numCache>
                <c:formatCode>General</c:formatCode>
                <c:ptCount val="64"/>
                <c:pt idx="0">
                  <c:v>0.513835817481477</c:v>
                </c:pt>
                <c:pt idx="1">
                  <c:v>0.46680135034916931</c:v>
                </c:pt>
                <c:pt idx="2">
                  <c:v>0.42407222944450146</c:v>
                </c:pt>
                <c:pt idx="3">
                  <c:v>0.38525436066436164</c:v>
                </c:pt>
                <c:pt idx="4">
                  <c:v>0.34998972369712772</c:v>
                </c:pt>
                <c:pt idx="5">
                  <c:v>0.31795306997266953</c:v>
                </c:pt>
                <c:pt idx="6">
                  <c:v>0.28884892286874564</c:v>
                </c:pt>
                <c:pt idx="7">
                  <c:v>0.26240885250646062</c:v>
                </c:pt>
                <c:pt idx="8">
                  <c:v>0.23838899999999999</c:v>
                </c:pt>
                <c:pt idx="9">
                  <c:v>0.21656782832660279</c:v>
                </c:pt>
                <c:pt idx="10">
                  <c:v>0.19674407907286368</c:v>
                </c:pt>
                <c:pt idx="11">
                  <c:v>0.1787349162122728</c:v>
                </c:pt>
                <c:pt idx="12">
                  <c:v>0.16237423979390506</c:v>
                </c:pt>
                <c:pt idx="13">
                  <c:v>0.14751115398927411</c:v>
                </c:pt>
                <c:pt idx="14">
                  <c:v>0.1340085753680253</c:v>
                </c:pt>
                <c:pt idx="15">
                  <c:v>0.12174196856648216</c:v>
                </c:pt>
                <c:pt idx="16">
                  <c:v>0.11059819768801657</c:v>
                </c:pt>
                <c:pt idx="17">
                  <c:v>0.10047448284161623</c:v>
                </c:pt>
                <c:pt idx="18">
                  <c:v>9.1277452194720984E-2</c:v>
                </c:pt>
                <c:pt idx="19">
                  <c:v>8.2922280797335574E-2</c:v>
                </c:pt>
                <c:pt idx="20">
                  <c:v>7.5331908234724423E-2</c:v>
                </c:pt>
                <c:pt idx="21">
                  <c:v>6.8436327893036969E-2</c:v>
                </c:pt>
                <c:pt idx="22">
                  <c:v>6.2171941282703196E-2</c:v>
                </c:pt>
                <c:pt idx="23">
                  <c:v>5.648097146447232E-2</c:v>
                </c:pt>
                <c:pt idx="24">
                  <c:v>5.1310930168076523E-2</c:v>
                </c:pt>
                <c:pt idx="25">
                  <c:v>4.6614133688711729E-2</c:v>
                </c:pt>
                <c:pt idx="26">
                  <c:v>4.2347263096410633E-2</c:v>
                </c:pt>
                <c:pt idx="27">
                  <c:v>3.8470964702083311E-2</c:v>
                </c:pt>
                <c:pt idx="28">
                  <c:v>3.4949487095292039E-2</c:v>
                </c:pt>
                <c:pt idx="29">
                  <c:v>3.1750351406130424E-2</c:v>
                </c:pt>
                <c:pt idx="30">
                  <c:v>2.8844051750005945E-2</c:v>
                </c:pt>
                <c:pt idx="31">
                  <c:v>2.6203783092503992E-2</c:v>
                </c:pt>
                <c:pt idx="32">
                  <c:v>2.3805194024409435E-2</c:v>
                </c:pt>
                <c:pt idx="33">
                  <c:v>2.1626162166709758E-2</c:v>
                </c:pt>
                <c:pt idx="34">
                  <c:v>1.9646590134122257E-2</c:v>
                </c:pt>
                <c:pt idx="35">
                  <c:v>1.7848220175300532E-2</c:v>
                </c:pt>
                <c:pt idx="36">
                  <c:v>1.6214465780132026E-2</c:v>
                </c:pt>
                <c:pt idx="37">
                  <c:v>1.4730258701027347E-2</c:v>
                </c:pt>
                <c:pt idx="38">
                  <c:v>1.3381909977266303E-2</c:v>
                </c:pt>
                <c:pt idx="39">
                  <c:v>1.2156983680617239E-2</c:v>
                </c:pt>
                <c:pt idx="40">
                  <c:v>1.1044182217775258E-2</c:v>
                </c:pt>
                <c:pt idx="41">
                  <c:v>1.0033242131754699E-2</c:v>
                </c:pt>
                <c:pt idx="42">
                  <c:v>9.1148394412036201E-3</c:v>
                </c:pt>
                <c:pt idx="43">
                  <c:v>8.2805036445772803E-3</c:v>
                </c:pt>
                <c:pt idx="44">
                  <c:v>7.5225395960242377E-3</c:v>
                </c:pt>
                <c:pt idx="45">
                  <c:v>6.8339565324400412E-3</c:v>
                </c:pt>
                <c:pt idx="46">
                  <c:v>6.2084035970994484E-3</c:v>
                </c:pt>
                <c:pt idx="47">
                  <c:v>5.6401112651963663E-3</c:v>
                </c:pt>
                <c:pt idx="48">
                  <c:v>5.1238381310546414E-3</c:v>
                </c:pt>
                <c:pt idx="49">
                  <c:v>4.6548225662238745E-3</c:v>
                </c:pt>
                <c:pt idx="50">
                  <c:v>4.2287388025989796E-3</c:v>
                </c:pt>
                <c:pt idx="51">
                  <c:v>3.8416570355146442E-3</c:v>
                </c:pt>
                <c:pt idx="52">
                  <c:v>3.4900071788422334E-3</c:v>
                </c:pt>
                <c:pt idx="53">
                  <c:v>3.1705459377996299E-3</c:v>
                </c:pt>
                <c:pt idx="54">
                  <c:v>2.8803268957837739E-3</c:v>
                </c:pt>
                <c:pt idx="55">
                  <c:v>2.6166733393344368E-3</c:v>
                </c:pt>
                <c:pt idx="56">
                  <c:v>2.3771535705916741E-3</c:v>
                </c:pt>
                <c:pt idx="57">
                  <c:v>2.159558479551777E-3</c:v>
                </c:pt>
                <c:pt idx="58">
                  <c:v>1.9618811692688359E-3</c:v>
                </c:pt>
                <c:pt idx="59">
                  <c:v>1.7822984460835356E-3</c:v>
                </c:pt>
                <c:pt idx="60">
                  <c:v>1.6191540041620629E-3</c:v>
                </c:pt>
                <c:pt idx="61">
                  <c:v>1.4709431492547955E-3</c:v>
                </c:pt>
                <c:pt idx="62">
                  <c:v>1.3362989207807616E-3</c:v>
                </c:pt>
                <c:pt idx="63">
                  <c:v>1.2139794842407684E-3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F9-4033-819E-E041D9E76E20}"/>
            </c:ext>
          </c:extLst>
        </c:ser>
        <c:ser>
          <c:idx val="2"/>
          <c:order val="2"/>
          <c:tx>
            <c:v>Phyto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Spectra!$A$2:$A$65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Spectra!$E$2:$E$65</c:f>
              <c:numCache>
                <c:formatCode>General</c:formatCode>
                <c:ptCount val="64"/>
                <c:pt idx="0">
                  <c:v>0.11773022448965238</c:v>
                </c:pt>
                <c:pt idx="1">
                  <c:v>0.12243187306509971</c:v>
                </c:pt>
                <c:pt idx="2">
                  <c:v>0.12520044152004819</c:v>
                </c:pt>
                <c:pt idx="3">
                  <c:v>0.13137187283600035</c:v>
                </c:pt>
                <c:pt idx="4">
                  <c:v>0.13423530128814376</c:v>
                </c:pt>
                <c:pt idx="5">
                  <c:v>0.13586244463434</c:v>
                </c:pt>
                <c:pt idx="6">
                  <c:v>0.14153281257476019</c:v>
                </c:pt>
                <c:pt idx="7">
                  <c:v>0.14552211989223979</c:v>
                </c:pt>
                <c:pt idx="8">
                  <c:v>0.14643558453628577</c:v>
                </c:pt>
                <c:pt idx="9">
                  <c:v>0.1396049372496867</c:v>
                </c:pt>
                <c:pt idx="10">
                  <c:v>0.13006035771031085</c:v>
                </c:pt>
                <c:pt idx="11">
                  <c:v>0.12489057928675108</c:v>
                </c:pt>
                <c:pt idx="12">
                  <c:v>0.12212921496661125</c:v>
                </c:pt>
                <c:pt idx="13">
                  <c:v>0.11954517255265515</c:v>
                </c:pt>
                <c:pt idx="14">
                  <c:v>0.11479089074317864</c:v>
                </c:pt>
                <c:pt idx="15">
                  <c:v>0.10838762304172661</c:v>
                </c:pt>
                <c:pt idx="16">
                  <c:v>0.10218053596276329</c:v>
                </c:pt>
                <c:pt idx="17">
                  <c:v>9.7965861125475603E-2</c:v>
                </c:pt>
                <c:pt idx="18">
                  <c:v>9.361856662098017E-2</c:v>
                </c:pt>
                <c:pt idx="19">
                  <c:v>8.9023806476480394E-2</c:v>
                </c:pt>
                <c:pt idx="20">
                  <c:v>8.51097883565088E-2</c:v>
                </c:pt>
                <c:pt idx="21">
                  <c:v>7.9821961631469804E-2</c:v>
                </c:pt>
                <c:pt idx="22">
                  <c:v>7.4149314646053843E-2</c:v>
                </c:pt>
                <c:pt idx="23">
                  <c:v>6.7826653562986602E-2</c:v>
                </c:pt>
                <c:pt idx="24">
                  <c:v>6.3109623877028981E-2</c:v>
                </c:pt>
                <c:pt idx="25">
                  <c:v>5.9168157114961921E-2</c:v>
                </c:pt>
                <c:pt idx="26">
                  <c:v>5.5986509783693822E-2</c:v>
                </c:pt>
                <c:pt idx="27">
                  <c:v>5.2862779655913864E-2</c:v>
                </c:pt>
                <c:pt idx="28">
                  <c:v>5.0212298856249143E-2</c:v>
                </c:pt>
                <c:pt idx="29">
                  <c:v>4.7298578013713288E-2</c:v>
                </c:pt>
                <c:pt idx="30">
                  <c:v>4.3028564434833216E-2</c:v>
                </c:pt>
                <c:pt idx="31">
                  <c:v>4.113318749509897E-2</c:v>
                </c:pt>
                <c:pt idx="32">
                  <c:v>3.6184753419600542E-2</c:v>
                </c:pt>
                <c:pt idx="33">
                  <c:v>3.4646985889153388E-2</c:v>
                </c:pt>
                <c:pt idx="34">
                  <c:v>3.2575780969434247E-2</c:v>
                </c:pt>
                <c:pt idx="35">
                  <c:v>3.1542856609732849E-2</c:v>
                </c:pt>
                <c:pt idx="36">
                  <c:v>3.1822382345225796E-2</c:v>
                </c:pt>
                <c:pt idx="37">
                  <c:v>3.2132350010079261E-2</c:v>
                </c:pt>
                <c:pt idx="38">
                  <c:v>3.1751347538388444E-2</c:v>
                </c:pt>
                <c:pt idx="39">
                  <c:v>3.0804015285777791E-2</c:v>
                </c:pt>
                <c:pt idx="40">
                  <c:v>2.9230290429208466E-2</c:v>
                </c:pt>
                <c:pt idx="41">
                  <c:v>2.9461274365112554E-2</c:v>
                </c:pt>
                <c:pt idx="42">
                  <c:v>3.1975172637601156E-2</c:v>
                </c:pt>
                <c:pt idx="43">
                  <c:v>3.4584981012915322E-2</c:v>
                </c:pt>
                <c:pt idx="44">
                  <c:v>3.6644978455933057E-2</c:v>
                </c:pt>
                <c:pt idx="45">
                  <c:v>3.7246285807916106E-2</c:v>
                </c:pt>
                <c:pt idx="46">
                  <c:v>3.7764119966650807E-2</c:v>
                </c:pt>
                <c:pt idx="47">
                  <c:v>3.8548870322400307E-2</c:v>
                </c:pt>
                <c:pt idx="48">
                  <c:v>3.7948793113600651E-2</c:v>
                </c:pt>
                <c:pt idx="49">
                  <c:v>3.7980021968460641E-2</c:v>
                </c:pt>
                <c:pt idx="50">
                  <c:v>3.9583187923802228E-2</c:v>
                </c:pt>
                <c:pt idx="51">
                  <c:v>4.4775435431175674E-2</c:v>
                </c:pt>
                <c:pt idx="52">
                  <c:v>5.8216685910208392E-2</c:v>
                </c:pt>
                <c:pt idx="53">
                  <c:v>7.6758007544860021E-2</c:v>
                </c:pt>
                <c:pt idx="54">
                  <c:v>9.3944430022487396E-2</c:v>
                </c:pt>
                <c:pt idx="55">
                  <c:v>9.9599980170874763E-2</c:v>
                </c:pt>
                <c:pt idx="56">
                  <c:v>9.1532048989564532E-2</c:v>
                </c:pt>
                <c:pt idx="57">
                  <c:v>7.072713774288808E-2</c:v>
                </c:pt>
                <c:pt idx="58">
                  <c:v>4.5962893077188247E-2</c:v>
                </c:pt>
                <c:pt idx="59">
                  <c:v>2.7423415685283278E-2</c:v>
                </c:pt>
                <c:pt idx="60">
                  <c:v>1.5635406783160485E-2</c:v>
                </c:pt>
                <c:pt idx="61">
                  <c:v>1.1073716290878104E-2</c:v>
                </c:pt>
                <c:pt idx="62">
                  <c:v>6.6891568970717232E-3</c:v>
                </c:pt>
                <c:pt idx="63">
                  <c:v>5.2765810065444011E-3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F9-4033-819E-E041D9E76E20}"/>
            </c:ext>
          </c:extLst>
        </c:ser>
        <c:ser>
          <c:idx val="3"/>
          <c:order val="3"/>
          <c:tx>
            <c:v>NAP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Spectra!$A$2:$A$65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Spectra!$F$2:$F$65</c:f>
              <c:numCache>
                <c:formatCode>General</c:formatCode>
                <c:ptCount val="64"/>
                <c:pt idx="0">
                  <c:v>0.11335969433570653</c:v>
                </c:pt>
                <c:pt idx="1">
                  <c:v>0.10844022625464575</c:v>
                </c:pt>
                <c:pt idx="2">
                  <c:v>0.10373722715719329</c:v>
                </c:pt>
                <c:pt idx="3">
                  <c:v>9.9241171862965424E-2</c:v>
                </c:pt>
                <c:pt idx="4">
                  <c:v>9.494295432350118E-2</c:v>
                </c:pt>
                <c:pt idx="5">
                  <c:v>9.0833869179402518E-2</c:v>
                </c:pt>
                <c:pt idx="6">
                  <c:v>8.6905594129006405E-2</c:v>
                </c:pt>
                <c:pt idx="7">
                  <c:v>8.3150173072879904E-2</c:v>
                </c:pt>
                <c:pt idx="8">
                  <c:v>7.9559999999999992E-2</c:v>
                </c:pt>
                <c:pt idx="9">
                  <c:v>7.6127803582981796E-2</c:v>
                </c:pt>
                <c:pt idx="10">
                  <c:v>7.2846632451155802E-2</c:v>
                </c:pt>
                <c:pt idx="11">
                  <c:v>6.9709841111666684E-2</c:v>
                </c:pt>
                <c:pt idx="12">
                  <c:v>6.6711076490079221E-2</c:v>
                </c:pt>
                <c:pt idx="13">
                  <c:v>6.3844265063231403E-2</c:v>
                </c:pt>
                <c:pt idx="14">
                  <c:v>6.1103600558274559E-2</c:v>
                </c:pt>
                <c:pt idx="15">
                  <c:v>5.8483532192986437E-2</c:v>
                </c:pt>
                <c:pt idx="16">
                  <c:v>5.5978753433540425E-2</c:v>
                </c:pt>
                <c:pt idx="17">
                  <c:v>5.3584191246961003E-2</c:v>
                </c:pt>
                <c:pt idx="18">
                  <c:v>5.1294995826498324E-2</c:v>
                </c:pt>
                <c:pt idx="19">
                  <c:v>4.9106530769112137E-2</c:v>
                </c:pt>
                <c:pt idx="20">
                  <c:v>4.7014363685171208E-2</c:v>
                </c:pt>
                <c:pt idx="21">
                  <c:v>4.5014257221349566E-2</c:v>
                </c:pt>
                <c:pt idx="22">
                  <c:v>4.3102160478537987E-2</c:v>
                </c:pt>
                <c:pt idx="23">
                  <c:v>4.1274200807388833E-2</c:v>
                </c:pt>
                <c:pt idx="24">
                  <c:v>3.9526675964877793E-2</c:v>
                </c:pt>
                <c:pt idx="25">
                  <c:v>3.7856046615996446E-2</c:v>
                </c:pt>
                <c:pt idx="26">
                  <c:v>3.6258929165389413E-2</c:v>
                </c:pt>
                <c:pt idx="27">
                  <c:v>3.4732088904417383E-2</c:v>
                </c:pt>
                <c:pt idx="28">
                  <c:v>3.3272433459766736E-2</c:v>
                </c:pt>
                <c:pt idx="29">
                  <c:v>3.1877006530336739E-2</c:v>
                </c:pt>
                <c:pt idx="30">
                  <c:v>3.0542981899719567E-2</c:v>
                </c:pt>
                <c:pt idx="31">
                  <c:v>2.9267657712146216E-2</c:v>
                </c:pt>
                <c:pt idx="32">
                  <c:v>2.8048451000305258E-2</c:v>
                </c:pt>
                <c:pt idx="33">
                  <c:v>2.6882892453951278E-2</c:v>
                </c:pt>
                <c:pt idx="34">
                  <c:v>2.5768621418707834E-2</c:v>
                </c:pt>
                <c:pt idx="35">
                  <c:v>2.4703381114935533E-2</c:v>
                </c:pt>
                <c:pt idx="36">
                  <c:v>2.3685014066982087E-2</c:v>
                </c:pt>
                <c:pt idx="37">
                  <c:v>2.2711457733556789E-2</c:v>
                </c:pt>
                <c:pt idx="38">
                  <c:v>2.178074033037954E-2</c:v>
                </c:pt>
                <c:pt idx="39">
                  <c:v>2.0890976836643847E-2</c:v>
                </c:pt>
                <c:pt idx="40">
                  <c:v>2.0040365177205498E-2</c:v>
                </c:pt>
                <c:pt idx="41">
                  <c:v>1.9227182572764567E-2</c:v>
                </c:pt>
                <c:pt idx="42">
                  <c:v>1.8449782050648553E-2</c:v>
                </c:pt>
                <c:pt idx="43">
                  <c:v>1.7706589109129908E-2</c:v>
                </c:pt>
                <c:pt idx="44">
                  <c:v>1.699609852852195E-2</c:v>
                </c:pt>
                <c:pt idx="45">
                  <c:v>1.63168713225946E-2</c:v>
                </c:pt>
                <c:pt idx="46">
                  <c:v>1.5667531824135526E-2</c:v>
                </c:pt>
                <c:pt idx="47">
                  <c:v>1.5046764898753879E-2</c:v>
                </c:pt>
                <c:pt idx="48">
                  <c:v>1.4453313281283752E-2</c:v>
                </c:pt>
                <c:pt idx="49">
                  <c:v>1.3885975029392532E-2</c:v>
                </c:pt>
                <c:pt idx="50">
                  <c:v>1.3343601089236929E-2</c:v>
                </c:pt>
                <c:pt idx="51">
                  <c:v>1.2825092968236277E-2</c:v>
                </c:pt>
                <c:pt idx="52">
                  <c:v>1.2329400510249644E-2</c:v>
                </c:pt>
                <c:pt idx="53">
                  <c:v>1.1855519768650758E-2</c:v>
                </c:pt>
                <c:pt idx="54">
                  <c:v>1.1402490972993026E-2</c:v>
                </c:pt>
                <c:pt idx="55">
                  <c:v>1.0969396585146351E-2</c:v>
                </c:pt>
                <c:pt idx="56">
                  <c:v>1.055535944096888E-2</c:v>
                </c:pt>
                <c:pt idx="57">
                  <c:v>1.0159540973749851E-2</c:v>
                </c:pt>
                <c:pt idx="58">
                  <c:v>9.7811395158254183E-3</c:v>
                </c:pt>
                <c:pt idx="59">
                  <c:v>9.4193886749276909E-3</c:v>
                </c:pt>
                <c:pt idx="60">
                  <c:v>9.0735557819784565E-3</c:v>
                </c:pt>
                <c:pt idx="61">
                  <c:v>8.7429404071839318E-3</c:v>
                </c:pt>
                <c:pt idx="62">
                  <c:v>8.4268729414250614E-3</c:v>
                </c:pt>
                <c:pt idx="63">
                  <c:v>8.1247132400702107E-3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F9-4033-819E-E041D9E76E20}"/>
            </c:ext>
          </c:extLst>
        </c:ser>
        <c:ser>
          <c:idx val="4"/>
          <c:order val="4"/>
          <c:tx>
            <c:v>Total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Spectra!$A$2:$A$65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Spectra!$G$2:$G$65</c:f>
              <c:numCache>
                <c:formatCode>General</c:formatCode>
                <c:ptCount val="64"/>
                <c:pt idx="0">
                  <c:v>0.75155573630683592</c:v>
                </c:pt>
                <c:pt idx="1">
                  <c:v>0.70297344966891484</c:v>
                </c:pt>
                <c:pt idx="2">
                  <c:v>0.65773989812174294</c:v>
                </c:pt>
                <c:pt idx="3">
                  <c:v>0.6203074053633274</c:v>
                </c:pt>
                <c:pt idx="4">
                  <c:v>0.58370797930877261</c:v>
                </c:pt>
                <c:pt idx="5">
                  <c:v>0.54942938378641204</c:v>
                </c:pt>
                <c:pt idx="6">
                  <c:v>0.52223732957251223</c:v>
                </c:pt>
                <c:pt idx="7">
                  <c:v>0.49638114547158035</c:v>
                </c:pt>
                <c:pt idx="8">
                  <c:v>0.47073458453628569</c:v>
                </c:pt>
                <c:pt idx="9">
                  <c:v>0.4398105691592713</c:v>
                </c:pt>
                <c:pt idx="10">
                  <c:v>0.40887106923433031</c:v>
                </c:pt>
                <c:pt idx="11">
                  <c:v>0.38295533661069053</c:v>
                </c:pt>
                <c:pt idx="12">
                  <c:v>0.36100453125059551</c:v>
                </c:pt>
                <c:pt idx="13">
                  <c:v>0.34101059160516067</c:v>
                </c:pt>
                <c:pt idx="14">
                  <c:v>0.32050306666947848</c:v>
                </c:pt>
                <c:pt idx="15">
                  <c:v>0.30001312380119521</c:v>
                </c:pt>
                <c:pt idx="16">
                  <c:v>0.28145748708432028</c:v>
                </c:pt>
                <c:pt idx="17">
                  <c:v>0.26562453521405283</c:v>
                </c:pt>
                <c:pt idx="18">
                  <c:v>0.25119101464219951</c:v>
                </c:pt>
                <c:pt idx="19">
                  <c:v>0.23835261804292812</c:v>
                </c:pt>
                <c:pt idx="20">
                  <c:v>0.22785606027640443</c:v>
                </c:pt>
                <c:pt idx="21">
                  <c:v>0.21887254674585632</c:v>
                </c:pt>
                <c:pt idx="22">
                  <c:v>0.21192341640729503</c:v>
                </c:pt>
                <c:pt idx="23">
                  <c:v>0.20518182583484776</c:v>
                </c:pt>
                <c:pt idx="24">
                  <c:v>0.1948472300099833</c:v>
                </c:pt>
                <c:pt idx="25">
                  <c:v>0.1853383374196701</c:v>
                </c:pt>
                <c:pt idx="26">
                  <c:v>0.17799270204549389</c:v>
                </c:pt>
                <c:pt idx="27">
                  <c:v>0.17126583326241457</c:v>
                </c:pt>
                <c:pt idx="28">
                  <c:v>0.16583421941130791</c:v>
                </c:pt>
                <c:pt idx="29">
                  <c:v>0.16202593595018044</c:v>
                </c:pt>
                <c:pt idx="30">
                  <c:v>0.15891559808455874</c:v>
                </c:pt>
                <c:pt idx="31">
                  <c:v>0.15620462829974918</c:v>
                </c:pt>
                <c:pt idx="32">
                  <c:v>0.14993839844431522</c:v>
                </c:pt>
                <c:pt idx="33">
                  <c:v>0.14735604050981443</c:v>
                </c:pt>
                <c:pt idx="34">
                  <c:v>0.14749099252226436</c:v>
                </c:pt>
                <c:pt idx="35">
                  <c:v>0.15129445789996893</c:v>
                </c:pt>
                <c:pt idx="36">
                  <c:v>0.1613218621923399</c:v>
                </c:pt>
                <c:pt idx="37">
                  <c:v>0.17957406644466339</c:v>
                </c:pt>
                <c:pt idx="38">
                  <c:v>0.20201399784603427</c:v>
                </c:pt>
                <c:pt idx="39">
                  <c:v>0.23105197580303885</c:v>
                </c:pt>
                <c:pt idx="40">
                  <c:v>0.28271483782418921</c:v>
                </c:pt>
                <c:pt idx="41">
                  <c:v>0.3144216990696318</c:v>
                </c:pt>
                <c:pt idx="42">
                  <c:v>0.32393979412945334</c:v>
                </c:pt>
                <c:pt idx="43">
                  <c:v>0.32837207376662247</c:v>
                </c:pt>
                <c:pt idx="44">
                  <c:v>0.33666361658047927</c:v>
                </c:pt>
                <c:pt idx="45">
                  <c:v>0.34379711366295074</c:v>
                </c:pt>
                <c:pt idx="46">
                  <c:v>0.35124005538788583</c:v>
                </c:pt>
                <c:pt idx="47">
                  <c:v>0.36043574648635057</c:v>
                </c:pt>
                <c:pt idx="48">
                  <c:v>0.36832594452593909</c:v>
                </c:pt>
                <c:pt idx="49">
                  <c:v>0.38152081956407702</c:v>
                </c:pt>
                <c:pt idx="50">
                  <c:v>0.39715552781563818</c:v>
                </c:pt>
                <c:pt idx="51">
                  <c:v>0.43244218543492657</c:v>
                </c:pt>
                <c:pt idx="52">
                  <c:v>0.48403609359930028</c:v>
                </c:pt>
                <c:pt idx="53">
                  <c:v>0.52078407325131038</c:v>
                </c:pt>
                <c:pt idx="54">
                  <c:v>0.5472272478912642</c:v>
                </c:pt>
                <c:pt idx="55">
                  <c:v>0.5611860500953556</c:v>
                </c:pt>
                <c:pt idx="56">
                  <c:v>0.56946456200112505</c:v>
                </c:pt>
                <c:pt idx="57">
                  <c:v>0.56904623719618974</c:v>
                </c:pt>
                <c:pt idx="58">
                  <c:v>0.57370591376228253</c:v>
                </c:pt>
                <c:pt idx="59">
                  <c:v>0.59762510280629455</c:v>
                </c:pt>
                <c:pt idx="60">
                  <c:v>0.6503281165693009</c:v>
                </c:pt>
                <c:pt idx="61">
                  <c:v>0.72528759984731672</c:v>
                </c:pt>
                <c:pt idx="62">
                  <c:v>0.84345232875927756</c:v>
                </c:pt>
                <c:pt idx="63">
                  <c:v>1.0216152737308553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BF9-4033-819E-E041D9E76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56032"/>
        <c:axId val="168557952"/>
      </c:scatterChart>
      <c:valAx>
        <c:axId val="168556032"/>
        <c:scaling>
          <c:orientation val="minMax"/>
          <c:max val="700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33585938121371206"/>
              <c:y val="0.853661950792736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557952"/>
        <c:crosses val="autoZero"/>
        <c:crossBetween val="midCat"/>
      </c:valAx>
      <c:valAx>
        <c:axId val="168557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Absorption (1/m)</a:t>
                </a:r>
              </a:p>
            </c:rich>
          </c:tx>
          <c:layout>
            <c:manualLayout>
              <c:xMode val="edge"/>
              <c:yMode val="edge"/>
              <c:x val="4.0404040404040414E-2"/>
              <c:y val="0.29268420715703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556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565868660356877"/>
          <c:y val="0.29268420715703231"/>
          <c:w val="0.97980063098173353"/>
          <c:h val="0.68292981669974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Scattering &amp; Attenuation</a:t>
            </a:r>
          </a:p>
        </c:rich>
      </c:tx>
      <c:layout>
        <c:manualLayout>
          <c:xMode val="edge"/>
          <c:yMode val="edge"/>
          <c:x val="0.29647058823529421"/>
          <c:y val="4.08163265306122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058823529411766"/>
          <c:y val="0.24081632653061227"/>
          <c:w val="0.5458823529411766"/>
          <c:h val="0.485714285714285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Spectra!$H$1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Spectra!$A$2:$A$65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Spectra!$H$2:$H$65</c:f>
              <c:numCache>
                <c:formatCode>General</c:formatCode>
                <c:ptCount val="64"/>
                <c:pt idx="0">
                  <c:v>1.6321869964426539</c:v>
                </c:pt>
                <c:pt idx="1">
                  <c:v>1.6169411427423419</c:v>
                </c:pt>
                <c:pt idx="2">
                  <c:v>1.6020106344578957</c:v>
                </c:pt>
                <c:pt idx="3">
                  <c:v>1.5874350486774418</c:v>
                </c:pt>
                <c:pt idx="4">
                  <c:v>1.5731544271616236</c:v>
                </c:pt>
                <c:pt idx="5">
                  <c:v>1.5592092503964448</c:v>
                </c:pt>
                <c:pt idx="6">
                  <c:v>1.5455404133802968</c:v>
                </c:pt>
                <c:pt idx="7">
                  <c:v>1.5321392030106418</c:v>
                </c:pt>
                <c:pt idx="8">
                  <c:v>1.5189972769476623</c:v>
                </c:pt>
                <c:pt idx="9">
                  <c:v>1.5062066438428769</c:v>
                </c:pt>
                <c:pt idx="10">
                  <c:v>1.4936596448303641</c:v>
                </c:pt>
                <c:pt idx="11">
                  <c:v>1.4813489361869583</c:v>
                </c:pt>
                <c:pt idx="12">
                  <c:v>1.4692674730756676</c:v>
                </c:pt>
                <c:pt idx="13">
                  <c:v>1.457408494293706</c:v>
                </c:pt>
                <c:pt idx="14">
                  <c:v>1.4457655079530152</c:v>
                </c:pt>
                <c:pt idx="15">
                  <c:v>1.4343822780270437</c:v>
                </c:pt>
                <c:pt idx="16">
                  <c:v>1.4232028117028783</c:v>
                </c:pt>
                <c:pt idx="17">
                  <c:v>1.412221347482711</c:v>
                </c:pt>
                <c:pt idx="18">
                  <c:v>1.4014323439830352</c:v>
                </c:pt>
                <c:pt idx="19">
                  <c:v>1.3908804693840178</c:v>
                </c:pt>
                <c:pt idx="20">
                  <c:v>1.3805105914851732</c:v>
                </c:pt>
                <c:pt idx="21">
                  <c:v>1.3702677683268278</c:v>
                </c:pt>
                <c:pt idx="22">
                  <c:v>1.3601972393399526</c:v>
                </c:pt>
                <c:pt idx="23">
                  <c:v>1.3503444169897445</c:v>
                </c:pt>
                <c:pt idx="24">
                  <c:v>1.3406548788809203</c:v>
                </c:pt>
                <c:pt idx="25">
                  <c:v>1.3311243602950604</c:v>
                </c:pt>
                <c:pt idx="26">
                  <c:v>1.3217487471324931</c:v>
                </c:pt>
                <c:pt idx="27">
                  <c:v>1.31257406923321</c:v>
                </c:pt>
                <c:pt idx="28">
                  <c:v>1.3035464940531383</c:v>
                </c:pt>
                <c:pt idx="29">
                  <c:v>1.2946123206737676</c:v>
                </c:pt>
                <c:pt idx="30">
                  <c:v>1.2858179741246851</c:v>
                </c:pt>
                <c:pt idx="31">
                  <c:v>1.2772099999999997</c:v>
                </c:pt>
                <c:pt idx="32">
                  <c:v>1.2687350593509559</c:v>
                </c:pt>
                <c:pt idx="33">
                  <c:v>1.2603899238382361</c:v>
                </c:pt>
                <c:pt idx="34">
                  <c:v>1.2521714711285949</c:v>
                </c:pt>
                <c:pt idx="35">
                  <c:v>1.2440766805214794</c:v>
                </c:pt>
                <c:pt idx="36">
                  <c:v>1.2361026287922694</c:v>
                </c:pt>
                <c:pt idx="37">
                  <c:v>1.2282464862396394</c:v>
                </c:pt>
                <c:pt idx="38">
                  <c:v>1.2205055129253748</c:v>
                </c:pt>
                <c:pt idx="39">
                  <c:v>1.2128770550957313</c:v>
                </c:pt>
                <c:pt idx="40">
                  <c:v>1.2053585417741317</c:v>
                </c:pt>
                <c:pt idx="41">
                  <c:v>1.1979474815156446</c:v>
                </c:pt>
                <c:pt idx="42">
                  <c:v>1.1906414593143022</c:v>
                </c:pt>
                <c:pt idx="43">
                  <c:v>1.183438133654872</c:v>
                </c:pt>
                <c:pt idx="44">
                  <c:v>1.1763352337012256</c:v>
                </c:pt>
                <c:pt idx="45">
                  <c:v>1.1693305566139276</c:v>
                </c:pt>
                <c:pt idx="46">
                  <c:v>1.1624219649901359</c:v>
                </c:pt>
                <c:pt idx="47">
                  <c:v>1.1556073844193036</c:v>
                </c:pt>
                <c:pt idx="48">
                  <c:v>1.1488848011485913</c:v>
                </c:pt>
                <c:pt idx="49">
                  <c:v>1.1423022598522452</c:v>
                </c:pt>
                <c:pt idx="50">
                  <c:v>1.1358078614995486</c:v>
                </c:pt>
                <c:pt idx="51">
                  <c:v>1.129299761316271</c:v>
                </c:pt>
                <c:pt idx="52">
                  <c:v>1.1228761668348353</c:v>
                </c:pt>
                <c:pt idx="53">
                  <c:v>1.1166353360287065</c:v>
                </c:pt>
                <c:pt idx="54">
                  <c:v>1.1104755755267579</c:v>
                </c:pt>
                <c:pt idx="55">
                  <c:v>1.1043452389036224</c:v>
                </c:pt>
                <c:pt idx="56">
                  <c:v>1.0982927250422554</c:v>
                </c:pt>
                <c:pt idx="57">
                  <c:v>1.0923664765651608</c:v>
                </c:pt>
                <c:pt idx="58">
                  <c:v>1.0865149783309174</c:v>
                </c:pt>
                <c:pt idx="59">
                  <c:v>1.080736755992838</c:v>
                </c:pt>
                <c:pt idx="60">
                  <c:v>1.0750303746167722</c:v>
                </c:pt>
                <c:pt idx="61">
                  <c:v>1.0693944373552173</c:v>
                </c:pt>
                <c:pt idx="62">
                  <c:v>1.0638275841750662</c:v>
                </c:pt>
                <c:pt idx="63">
                  <c:v>1.0583284906364618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EB-4DCF-A0C2-971EF9E7FD8F}"/>
            </c:ext>
          </c:extLst>
        </c:ser>
        <c:ser>
          <c:idx val="1"/>
          <c:order val="1"/>
          <c:tx>
            <c:v>Kd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Spectra!$A$2:$A$65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Spectra!$J$2:$J$65</c:f>
              <c:numCache>
                <c:formatCode>General</c:formatCode>
                <c:ptCount val="64"/>
                <c:pt idx="0">
                  <c:v>0.99302769047075423</c:v>
                </c:pt>
                <c:pt idx="1">
                  <c:v>0.93712510603966304</c:v>
                </c:pt>
                <c:pt idx="2">
                  <c:v>0.88492567071712003</c:v>
                </c:pt>
                <c:pt idx="3">
                  <c:v>0.84149984391744925</c:v>
                </c:pt>
                <c:pt idx="4">
                  <c:v>0.79897040291881516</c:v>
                </c:pt>
                <c:pt idx="5">
                  <c:v>0.75910146491339869</c:v>
                </c:pt>
                <c:pt idx="6">
                  <c:v>0.72710416174518755</c:v>
                </c:pt>
                <c:pt idx="7">
                  <c:v>0.6965617141061875</c:v>
                </c:pt>
                <c:pt idx="8">
                  <c:v>0.66621210352361593</c:v>
                </c:pt>
                <c:pt idx="9">
                  <c:v>0.63011714857582923</c:v>
                </c:pt>
                <c:pt idx="10">
                  <c:v>0.5939222271157103</c:v>
                </c:pt>
                <c:pt idx="11">
                  <c:v>0.56327944358599136</c:v>
                </c:pt>
                <c:pt idx="12">
                  <c:v>0.53701766059107214</c:v>
                </c:pt>
                <c:pt idx="13">
                  <c:v>0.51288500793306124</c:v>
                </c:pt>
                <c:pt idx="14">
                  <c:v>0.48807993609645883</c:v>
                </c:pt>
                <c:pt idx="15">
                  <c:v>0.46329154196242911</c:v>
                </c:pt>
                <c:pt idx="16">
                  <c:v>0.4405935713150404</c:v>
                </c:pt>
                <c:pt idx="17">
                  <c:v>0.42091237170950679</c:v>
                </c:pt>
                <c:pt idx="18">
                  <c:v>0.40274713189884548</c:v>
                </c:pt>
                <c:pt idx="19">
                  <c:v>0.38644598827138743</c:v>
                </c:pt>
                <c:pt idx="20">
                  <c:v>0.37280154647544661</c:v>
                </c:pt>
                <c:pt idx="21">
                  <c:v>0.36076883069141508</c:v>
                </c:pt>
                <c:pt idx="22">
                  <c:v>0.35109010083705805</c:v>
                </c:pt>
                <c:pt idx="23">
                  <c:v>0.34172452439893353</c:v>
                </c:pt>
                <c:pt idx="24">
                  <c:v>0.32803480008540375</c:v>
                </c:pt>
                <c:pt idx="25">
                  <c:v>0.3152540261304253</c:v>
                </c:pt>
                <c:pt idx="26">
                  <c:v>0.30501391692696389</c:v>
                </c:pt>
                <c:pt idx="27">
                  <c:v>0.29557696848790549</c:v>
                </c:pt>
                <c:pt idx="28">
                  <c:v>0.2876769317202772</c:v>
                </c:pt>
                <c:pt idx="29">
                  <c:v>0.28163418538961438</c:v>
                </c:pt>
                <c:pt idx="30">
                  <c:v>0.27643028108501772</c:v>
                </c:pt>
                <c:pt idx="31">
                  <c:v>0.27180210725327048</c:v>
                </c:pt>
                <c:pt idx="32">
                  <c:v>0.26278856167667131</c:v>
                </c:pt>
                <c:pt idx="33">
                  <c:v>0.25829099495918645</c:v>
                </c:pt>
                <c:pt idx="34">
                  <c:v>0.257137316479225</c:v>
                </c:pt>
                <c:pt idx="35">
                  <c:v>0.26047947848221081</c:v>
                </c:pt>
                <c:pt idx="36">
                  <c:v>0.27135331168309901</c:v>
                </c:pt>
                <c:pt idx="37">
                  <c:v>0.29193150415780744</c:v>
                </c:pt>
                <c:pt idx="38">
                  <c:v>0.31709579305187119</c:v>
                </c:pt>
                <c:pt idx="39">
                  <c:v>0.34952231755979107</c:v>
                </c:pt>
                <c:pt idx="40">
                  <c:v>0.40733322985188503</c:v>
                </c:pt>
                <c:pt idx="41">
                  <c:v>0.44180290413990653</c:v>
                </c:pt>
                <c:pt idx="42">
                  <c:v>0.4510283514523129</c:v>
                </c:pt>
                <c:pt idx="43">
                  <c:v>0.45448649537671432</c:v>
                </c:pt>
                <c:pt idx="44">
                  <c:v>0.46228010444530626</c:v>
                </c:pt>
                <c:pt idx="45">
                  <c:v>0.46874689460479879</c:v>
                </c:pt>
                <c:pt idx="46">
                  <c:v>0.47554261139508797</c:v>
                </c:pt>
                <c:pt idx="47">
                  <c:v>0.48428885317150122</c:v>
                </c:pt>
                <c:pt idx="48">
                  <c:v>0.49154830632610136</c:v>
                </c:pt>
                <c:pt idx="49">
                  <c:v>0.50484606375070307</c:v>
                </c:pt>
                <c:pt idx="50">
                  <c:v>0.52084992828176735</c:v>
                </c:pt>
                <c:pt idx="51">
                  <c:v>0.55858986881983297</c:v>
                </c:pt>
                <c:pt idx="52">
                  <c:v>0.61446423659244609</c:v>
                </c:pt>
                <c:pt idx="53">
                  <c:v>0.65391463573092412</c:v>
                </c:pt>
                <c:pt idx="54">
                  <c:v>0.68184236798874054</c:v>
                </c:pt>
                <c:pt idx="55">
                  <c:v>0.69572697680748985</c:v>
                </c:pt>
                <c:pt idx="56">
                  <c:v>0.70326860538440483</c:v>
                </c:pt>
                <c:pt idx="57">
                  <c:v>0.70121405762149769</c:v>
                </c:pt>
                <c:pt idx="58">
                  <c:v>0.70481134104915755</c:v>
                </c:pt>
                <c:pt idx="59">
                  <c:v>0.72986520296607271</c:v>
                </c:pt>
                <c:pt idx="60">
                  <c:v>0.78697942223741657</c:v>
                </c:pt>
                <c:pt idx="61">
                  <c:v>0.86886975014224266</c:v>
                </c:pt>
                <c:pt idx="62">
                  <c:v>0.99887100181160726</c:v>
                </c:pt>
                <c:pt idx="63">
                  <c:v>1.1956900153900365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EB-4DCF-A0C2-971EF9E7F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048"/>
        <c:axId val="168584704"/>
      </c:scatterChart>
      <c:scatterChart>
        <c:scatterStyle val="lineMarker"/>
        <c:varyColors val="0"/>
        <c:ser>
          <c:idx val="2"/>
          <c:order val="2"/>
          <c:tx>
            <c:v>bb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Spectra!$A$2:$A$65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Spectra!$I$2:$I$65</c:f>
              <c:numCache>
                <c:formatCode>General</c:formatCode>
                <c:ptCount val="64"/>
                <c:pt idx="0">
                  <c:v>3.7294898414020304E-2</c:v>
                </c:pt>
                <c:pt idx="1">
                  <c:v>3.6871342559189495E-2</c:v>
                </c:pt>
                <c:pt idx="2">
                  <c:v>3.6443350701041814E-2</c:v>
                </c:pt>
                <c:pt idx="3">
                  <c:v>3.6037046528571183E-2</c:v>
                </c:pt>
                <c:pt idx="4">
                  <c:v>3.5626487643478318E-2</c:v>
                </c:pt>
                <c:pt idx="5">
                  <c:v>3.5237794723669794E-2</c:v>
                </c:pt>
                <c:pt idx="6">
                  <c:v>3.4845014471531641E-2</c:v>
                </c:pt>
                <c:pt idx="7">
                  <c:v>3.4448224582023144E-2</c:v>
                </c:pt>
                <c:pt idx="8">
                  <c:v>3.4047500365580817E-2</c:v>
                </c:pt>
                <c:pt idx="9">
                  <c:v>3.3694995912363995E-2</c:v>
                </c:pt>
                <c:pt idx="10">
                  <c:v>3.3338701673164196E-2</c:v>
                </c:pt>
                <c:pt idx="11">
                  <c:v>3.2978684699204841E-2</c:v>
                </c:pt>
                <c:pt idx="12">
                  <c:v>3.2615010056471765E-2</c:v>
                </c:pt>
                <c:pt idx="13">
                  <c:v>3.2247740911945037E-2</c:v>
                </c:pt>
                <c:pt idx="14">
                  <c:v>3.1876938615109221E-2</c:v>
                </c:pt>
                <c:pt idx="15">
                  <c:v>3.152869993579948E-2</c:v>
                </c:pt>
                <c:pt idx="16">
                  <c:v>3.1177042509954529E-2</c:v>
                </c:pt>
                <c:pt idx="17">
                  <c:v>3.0822021814071066E-2</c:v>
                </c:pt>
                <c:pt idx="18">
                  <c:v>3.0463691791820985E-2</c:v>
                </c:pt>
                <c:pt idx="19">
                  <c:v>3.012813405326021E-2</c:v>
                </c:pt>
                <c:pt idx="20">
                  <c:v>2.9789365065863396E-2</c:v>
                </c:pt>
                <c:pt idx="21">
                  <c:v>2.9421410276473475E-2</c:v>
                </c:pt>
                <c:pt idx="22">
                  <c:v>2.9050347224748658E-2</c:v>
                </c:pt>
                <c:pt idx="23">
                  <c:v>2.8702239551288981E-2</c:v>
                </c:pt>
                <c:pt idx="24">
                  <c:v>2.8351108943759133E-2</c:v>
                </c:pt>
                <c:pt idx="25">
                  <c:v>2.7996999322890827E-2</c:v>
                </c:pt>
                <c:pt idx="26">
                  <c:v>2.7639953494381458E-2</c:v>
                </c:pt>
                <c:pt idx="27">
                  <c:v>2.7306012410589504E-2</c:v>
                </c:pt>
                <c:pt idx="28">
                  <c:v>2.6969207469435253E-2</c:v>
                </c:pt>
                <c:pt idx="29">
                  <c:v>2.6603588653927618E-2</c:v>
                </c:pt>
                <c:pt idx="30">
                  <c:v>2.623519392515156E-2</c:v>
                </c:pt>
                <c:pt idx="31">
                  <c:v>2.5890038424630803E-2</c:v>
                </c:pt>
                <c:pt idx="32">
                  <c:v>2.554216935471711E-2</c:v>
                </c:pt>
                <c:pt idx="33">
                  <c:v>2.5191621906902457E-2</c:v>
                </c:pt>
                <c:pt idx="34">
                  <c:v>2.483843044009006E-2</c:v>
                </c:pt>
                <c:pt idx="35">
                  <c:v>2.4482628509127309E-2</c:v>
                </c:pt>
                <c:pt idx="36">
                  <c:v>2.4124248892095201E-2</c:v>
                </c:pt>
                <c:pt idx="37">
                  <c:v>2.3763323616419276E-2</c:v>
                </c:pt>
                <c:pt idx="38">
                  <c:v>2.3399883983863442E-2</c:v>
                </c:pt>
                <c:pt idx="39">
                  <c:v>2.3033960594464269E-2</c:v>
                </c:pt>
                <c:pt idx="40">
                  <c:v>2.2665583369459834E-2</c:v>
                </c:pt>
                <c:pt idx="41">
                  <c:v>2.2294781573263988E-2</c:v>
                </c:pt>
                <c:pt idx="42">
                  <c:v>2.1921583834534034E-2</c:v>
                </c:pt>
                <c:pt idx="43">
                  <c:v>2.1546018166376787E-2</c:v>
                </c:pt>
                <c:pt idx="44">
                  <c:v>2.1168111985735708E-2</c:v>
                </c:pt>
                <c:pt idx="45">
                  <c:v>2.0787892131998838E-2</c:v>
                </c:pt>
                <c:pt idx="46">
                  <c:v>2.040538488486569E-2</c:v>
                </c:pt>
                <c:pt idx="47">
                  <c:v>2.0020615981508359E-2</c:v>
                </c:pt>
                <c:pt idx="48">
                  <c:v>1.9633610633060759E-2</c:v>
                </c:pt>
                <c:pt idx="49">
                  <c:v>1.9270215136283193E-2</c:v>
                </c:pt>
                <c:pt idx="50">
                  <c:v>1.8904609307849714E-2</c:v>
                </c:pt>
                <c:pt idx="51">
                  <c:v>1.8485218979890475E-2</c:v>
                </c:pt>
                <c:pt idx="52">
                  <c:v>1.8063711470393037E-2</c:v>
                </c:pt>
                <c:pt idx="53">
                  <c:v>1.7691659003319309E-2</c:v>
                </c:pt>
                <c:pt idx="54">
                  <c:v>1.731748605243676E-2</c:v>
                </c:pt>
                <c:pt idx="55">
                  <c:v>1.6915464810201803E-2</c:v>
                </c:pt>
                <c:pt idx="56">
                  <c:v>1.6511391077251414E-2</c:v>
                </c:pt>
                <c:pt idx="57">
                  <c:v>1.61310083071722E-2</c:v>
                </c:pt>
                <c:pt idx="58">
                  <c:v>1.574858748250928E-2</c:v>
                </c:pt>
                <c:pt idx="59">
                  <c:v>1.5364148085829431E-2</c:v>
                </c:pt>
                <c:pt idx="60">
                  <c:v>1.4977709229126498E-2</c:v>
                </c:pt>
                <c:pt idx="61">
                  <c:v>1.4589289663924475E-2</c:v>
                </c:pt>
                <c:pt idx="62">
                  <c:v>1.419890779102736E-2</c:v>
                </c:pt>
                <c:pt idx="63">
                  <c:v>1.3806581669930712E-2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EB-4DCF-A0C2-971EF9E7F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86624"/>
        <c:axId val="168592512"/>
      </c:scatterChart>
      <c:valAx>
        <c:axId val="168562048"/>
        <c:scaling>
          <c:orientation val="minMax"/>
          <c:max val="720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30588235294117655"/>
              <c:y val="0.848979591836734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584704"/>
        <c:crosses val="autoZero"/>
        <c:crossBetween val="midCat"/>
      </c:valAx>
      <c:valAx>
        <c:axId val="168584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b and Kd (1.m)</a:t>
                </a:r>
              </a:p>
            </c:rich>
          </c:tx>
          <c:layout>
            <c:manualLayout>
              <c:xMode val="edge"/>
              <c:yMode val="edge"/>
              <c:x val="3.7647058823529422E-2"/>
              <c:y val="0.310204081632653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562048"/>
        <c:crosses val="autoZero"/>
        <c:crossBetween val="midCat"/>
      </c:valAx>
      <c:valAx>
        <c:axId val="168586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68592512"/>
        <c:crosses val="autoZero"/>
        <c:crossBetween val="midCat"/>
      </c:valAx>
      <c:valAx>
        <c:axId val="1685925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bb (1/m)</a:t>
                </a:r>
              </a:p>
            </c:rich>
          </c:tx>
          <c:layout>
            <c:manualLayout>
              <c:xMode val="edge"/>
              <c:yMode val="edge"/>
              <c:x val="0.78117647058823525"/>
              <c:y val="0.379591836734693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58662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6117647058823543"/>
          <c:y val="0.35918367346938784"/>
          <c:w val="0.98117647058823532"/>
          <c:h val="0.608163265306122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Remote Sensing Reflectance</a:t>
            </a:r>
          </a:p>
        </c:rich>
      </c:tx>
      <c:layout>
        <c:manualLayout>
          <c:xMode val="edge"/>
          <c:yMode val="edge"/>
          <c:x val="0.26700278334225863"/>
          <c:y val="3.984063745019920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39821414295471"/>
          <c:y val="0.23107569721115537"/>
          <c:w val="0.75063064614324992"/>
          <c:h val="0.517928286852589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Spectra!$N$1</c:f>
              <c:strCache>
                <c:ptCount val="1"/>
                <c:pt idx="0">
                  <c:v>Rrs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Spectra!$A$2:$A$65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Spectra!$N$2:$N$65</c:f>
              <c:numCache>
                <c:formatCode>General</c:formatCode>
                <c:ptCount val="64"/>
                <c:pt idx="0">
                  <c:v>2.1099923969152539E-3</c:v>
                </c:pt>
                <c:pt idx="1">
                  <c:v>2.2376001737156471E-3</c:v>
                </c:pt>
                <c:pt idx="2">
                  <c:v>2.3704771662331082E-3</c:v>
                </c:pt>
                <c:pt idx="3">
                  <c:v>2.4904755035481323E-3</c:v>
                </c:pt>
                <c:pt idx="4">
                  <c:v>2.6206564508655665E-3</c:v>
                </c:pt>
                <c:pt idx="5">
                  <c:v>2.7566850139496691E-3</c:v>
                </c:pt>
                <c:pt idx="6">
                  <c:v>2.8683763996154295E-3</c:v>
                </c:pt>
                <c:pt idx="7">
                  <c:v>2.9823203292415651E-3</c:v>
                </c:pt>
                <c:pt idx="8">
                  <c:v>3.1052646163899716E-3</c:v>
                </c:pt>
                <c:pt idx="9">
                  <c:v>3.28379073184617E-3</c:v>
                </c:pt>
                <c:pt idx="10">
                  <c:v>3.4846252415646241E-3</c:v>
                </c:pt>
                <c:pt idx="11">
                  <c:v>3.6656005640838037E-3</c:v>
                </c:pt>
                <c:pt idx="12">
                  <c:v>3.8272560934479814E-3</c:v>
                </c:pt>
                <c:pt idx="13">
                  <c:v>3.9834195174002357E-3</c:v>
                </c:pt>
                <c:pt idx="14">
                  <c:v>4.159643279027004E-3</c:v>
                </c:pt>
                <c:pt idx="15">
                  <c:v>4.3569258362826848E-3</c:v>
                </c:pt>
                <c:pt idx="16">
                  <c:v>4.5474866358956156E-3</c:v>
                </c:pt>
                <c:pt idx="17">
                  <c:v>4.7153009227451168E-3</c:v>
                </c:pt>
                <c:pt idx="18">
                  <c:v>4.8745352002726805E-3</c:v>
                </c:pt>
                <c:pt idx="19">
                  <c:v>5.0238047577291448E-3</c:v>
                </c:pt>
                <c:pt idx="20">
                  <c:v>5.1411761148317976E-3</c:v>
                </c:pt>
                <c:pt idx="21">
                  <c:v>5.2311428972594155E-3</c:v>
                </c:pt>
                <c:pt idx="22">
                  <c:v>5.2855012289536049E-3</c:v>
                </c:pt>
                <c:pt idx="23">
                  <c:v>5.3427515407773393E-3</c:v>
                </c:pt>
                <c:pt idx="24">
                  <c:v>5.4762637718501561E-3</c:v>
                </c:pt>
                <c:pt idx="25">
                  <c:v>5.5999031378757176E-3</c:v>
                </c:pt>
                <c:pt idx="26">
                  <c:v>5.6805751188810033E-3</c:v>
                </c:pt>
                <c:pt idx="27">
                  <c:v>5.7562059036045691E-3</c:v>
                </c:pt>
                <c:pt idx="28">
                  <c:v>5.8026283875529956E-3</c:v>
                </c:pt>
                <c:pt idx="29">
                  <c:v>5.8024413309937777E-3</c:v>
                </c:pt>
                <c:pt idx="30">
                  <c:v>5.7837372437119731E-3</c:v>
                </c:pt>
                <c:pt idx="31">
                  <c:v>5.7605386648454261E-3</c:v>
                </c:pt>
                <c:pt idx="32">
                  <c:v>5.8275567390678479E-3</c:v>
                </c:pt>
                <c:pt idx="33">
                  <c:v>5.7987617221044226E-3</c:v>
                </c:pt>
                <c:pt idx="34">
                  <c:v>5.697758937526394E-3</c:v>
                </c:pt>
                <c:pt idx="35">
                  <c:v>5.5054897507774521E-3</c:v>
                </c:pt>
                <c:pt idx="36">
                  <c:v>5.1790841636699435E-3</c:v>
                </c:pt>
                <c:pt idx="37">
                  <c:v>4.7206944888651282E-3</c:v>
                </c:pt>
                <c:pt idx="38">
                  <c:v>4.2562357101659735E-3</c:v>
                </c:pt>
                <c:pt idx="39">
                  <c:v>3.7738518289652319E-3</c:v>
                </c:pt>
                <c:pt idx="40">
                  <c:v>3.1481807962977001E-3</c:v>
                </c:pt>
                <c:pt idx="41">
                  <c:v>2.8226809611674032E-3</c:v>
                </c:pt>
                <c:pt idx="42">
                  <c:v>2.6986730933355424E-3</c:v>
                </c:pt>
                <c:pt idx="43">
                  <c:v>2.6155750652222484E-3</c:v>
                </c:pt>
                <c:pt idx="44">
                  <c:v>2.5086453944199584E-3</c:v>
                </c:pt>
                <c:pt idx="45">
                  <c:v>2.4131803341227529E-3</c:v>
                </c:pt>
                <c:pt idx="46">
                  <c:v>2.3191288600293712E-3</c:v>
                </c:pt>
                <c:pt idx="47">
                  <c:v>2.2186284831970647E-3</c:v>
                </c:pt>
                <c:pt idx="48">
                  <c:v>2.1291691240158269E-3</c:v>
                </c:pt>
                <c:pt idx="49">
                  <c:v>2.0200415263612027E-3</c:v>
                </c:pt>
                <c:pt idx="50">
                  <c:v>1.906302252147422E-3</c:v>
                </c:pt>
                <c:pt idx="51">
                  <c:v>1.7179689741610418E-3</c:v>
                </c:pt>
                <c:pt idx="52">
                  <c:v>1.504038445691136E-3</c:v>
                </c:pt>
                <c:pt idx="53">
                  <c:v>1.3690002252464992E-3</c:v>
                </c:pt>
                <c:pt idx="54">
                  <c:v>1.2738011714012126E-3</c:v>
                </c:pt>
                <c:pt idx="55">
                  <c:v>1.2112191518426066E-3</c:v>
                </c:pt>
                <c:pt idx="56">
                  <c:v>1.1630041449721439E-3</c:v>
                </c:pt>
                <c:pt idx="57">
                  <c:v>1.1350669680515819E-3</c:v>
                </c:pt>
                <c:pt idx="58">
                  <c:v>1.0972427094847928E-3</c:v>
                </c:pt>
                <c:pt idx="59">
                  <c:v>1.0257840974064567E-3</c:v>
                </c:pt>
                <c:pt idx="60">
                  <c:v>9.1664143940723992E-4</c:v>
                </c:pt>
                <c:pt idx="61">
                  <c:v>7.9744259862172412E-4</c:v>
                </c:pt>
                <c:pt idx="62">
                  <c:v>6.631278972502215E-4</c:v>
                </c:pt>
                <c:pt idx="63">
                  <c:v>5.2760197136385366E-4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6E-437A-A0CA-4DE962461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16768"/>
        <c:axId val="168418688"/>
      </c:scatterChart>
      <c:valAx>
        <c:axId val="168416768"/>
        <c:scaling>
          <c:orientation val="minMax"/>
          <c:max val="720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4080657424119218"/>
              <c:y val="0.85657370517928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418688"/>
        <c:crosses val="autoZero"/>
        <c:crossBetween val="midCat"/>
      </c:valAx>
      <c:valAx>
        <c:axId val="168418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Rrs (1/Sr)</a:t>
                </a:r>
              </a:p>
            </c:rich>
          </c:tx>
          <c:layout>
            <c:manualLayout>
              <c:xMode val="edge"/>
              <c:yMode val="edge"/>
              <c:x val="4.0302267002518904E-2"/>
              <c:y val="0.38247011952191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416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537815126050473E-2"/>
          <c:y val="7.9268410686825164E-2"/>
          <c:w val="0.66596638655462181"/>
          <c:h val="0.783537751789002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bbpnorm!$B$1</c:f>
              <c:strCache>
                <c:ptCount val="1"/>
                <c:pt idx="0">
                  <c:v>Linear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bbpnorm!$A$2:$A$65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bbpnorm!$B$2:$B$65</c:f>
              <c:numCache>
                <c:formatCode>General</c:formatCode>
                <c:ptCount val="64"/>
                <c:pt idx="0">
                  <c:v>1.2144999999999999</c:v>
                </c:pt>
                <c:pt idx="1">
                  <c:v>1.20625</c:v>
                </c:pt>
                <c:pt idx="2">
                  <c:v>1.198</c:v>
                </c:pt>
                <c:pt idx="3">
                  <c:v>1.1897500000000001</c:v>
                </c:pt>
                <c:pt idx="4">
                  <c:v>1.1815</c:v>
                </c:pt>
                <c:pt idx="5">
                  <c:v>1.1732499999999999</c:v>
                </c:pt>
                <c:pt idx="6">
                  <c:v>1.165</c:v>
                </c:pt>
                <c:pt idx="7">
                  <c:v>1.1567499999999999</c:v>
                </c:pt>
                <c:pt idx="8">
                  <c:v>1.1485000000000001</c:v>
                </c:pt>
                <c:pt idx="9">
                  <c:v>1.14025</c:v>
                </c:pt>
                <c:pt idx="10">
                  <c:v>1.1320000000000001</c:v>
                </c:pt>
                <c:pt idx="11">
                  <c:v>1.12375</c:v>
                </c:pt>
                <c:pt idx="12">
                  <c:v>1.1154999999999999</c:v>
                </c:pt>
                <c:pt idx="13">
                  <c:v>1.1072500000000001</c:v>
                </c:pt>
                <c:pt idx="14">
                  <c:v>1.099</c:v>
                </c:pt>
                <c:pt idx="15">
                  <c:v>1.0907499999999999</c:v>
                </c:pt>
                <c:pt idx="16">
                  <c:v>1.0825</c:v>
                </c:pt>
                <c:pt idx="17">
                  <c:v>1.0742499999999999</c:v>
                </c:pt>
                <c:pt idx="18">
                  <c:v>1.0660000000000001</c:v>
                </c:pt>
                <c:pt idx="19">
                  <c:v>1.05775</c:v>
                </c:pt>
                <c:pt idx="20">
                  <c:v>1.0495000000000001</c:v>
                </c:pt>
                <c:pt idx="21">
                  <c:v>1.04125</c:v>
                </c:pt>
                <c:pt idx="22">
                  <c:v>1.0329999999999999</c:v>
                </c:pt>
                <c:pt idx="23">
                  <c:v>1.02475</c:v>
                </c:pt>
                <c:pt idx="24">
                  <c:v>1.0165</c:v>
                </c:pt>
                <c:pt idx="25">
                  <c:v>1.0082500000000001</c:v>
                </c:pt>
                <c:pt idx="26">
                  <c:v>1</c:v>
                </c:pt>
                <c:pt idx="27">
                  <c:v>0.99175000000000002</c:v>
                </c:pt>
                <c:pt idx="28">
                  <c:v>0.98350000000000004</c:v>
                </c:pt>
                <c:pt idx="29">
                  <c:v>0.97524999999999995</c:v>
                </c:pt>
                <c:pt idx="30">
                  <c:v>0.96699999999999997</c:v>
                </c:pt>
                <c:pt idx="31">
                  <c:v>0.95874999999999999</c:v>
                </c:pt>
                <c:pt idx="32">
                  <c:v>0.95050000000000001</c:v>
                </c:pt>
                <c:pt idx="33">
                  <c:v>0.94225000000000003</c:v>
                </c:pt>
                <c:pt idx="34">
                  <c:v>0.93399999999999994</c:v>
                </c:pt>
                <c:pt idx="35">
                  <c:v>0.92574999999999996</c:v>
                </c:pt>
                <c:pt idx="36">
                  <c:v>0.91749999999999998</c:v>
                </c:pt>
                <c:pt idx="37">
                  <c:v>0.90925</c:v>
                </c:pt>
                <c:pt idx="38">
                  <c:v>0.90100000000000002</c:v>
                </c:pt>
                <c:pt idx="39">
                  <c:v>0.89275000000000004</c:v>
                </c:pt>
                <c:pt idx="40">
                  <c:v>0.88449999999999995</c:v>
                </c:pt>
                <c:pt idx="41">
                  <c:v>0.87624999999999997</c:v>
                </c:pt>
                <c:pt idx="42">
                  <c:v>0.86799999999999999</c:v>
                </c:pt>
                <c:pt idx="43">
                  <c:v>0.85975000000000001</c:v>
                </c:pt>
                <c:pt idx="44">
                  <c:v>0.85150000000000003</c:v>
                </c:pt>
                <c:pt idx="45">
                  <c:v>0.84325000000000006</c:v>
                </c:pt>
                <c:pt idx="46">
                  <c:v>0.83499999999999996</c:v>
                </c:pt>
                <c:pt idx="47">
                  <c:v>0.82674999999999998</c:v>
                </c:pt>
                <c:pt idx="48">
                  <c:v>0.81850000000000001</c:v>
                </c:pt>
                <c:pt idx="49">
                  <c:v>0.81025000000000003</c:v>
                </c:pt>
                <c:pt idx="50">
                  <c:v>0.80200000000000005</c:v>
                </c:pt>
                <c:pt idx="51">
                  <c:v>0.79374999999999996</c:v>
                </c:pt>
                <c:pt idx="52">
                  <c:v>0.78549999999999998</c:v>
                </c:pt>
                <c:pt idx="53">
                  <c:v>0.77725</c:v>
                </c:pt>
                <c:pt idx="54">
                  <c:v>0.76900000000000002</c:v>
                </c:pt>
                <c:pt idx="55">
                  <c:v>0.76075000000000004</c:v>
                </c:pt>
                <c:pt idx="56">
                  <c:v>0.75249999999999995</c:v>
                </c:pt>
                <c:pt idx="57">
                  <c:v>0.74425000000000008</c:v>
                </c:pt>
                <c:pt idx="58">
                  <c:v>0.73599999999999999</c:v>
                </c:pt>
                <c:pt idx="59">
                  <c:v>0.72775000000000001</c:v>
                </c:pt>
                <c:pt idx="60">
                  <c:v>0.71950000000000003</c:v>
                </c:pt>
                <c:pt idx="61">
                  <c:v>0.71124999999999994</c:v>
                </c:pt>
                <c:pt idx="62">
                  <c:v>0.70300000000000007</c:v>
                </c:pt>
                <c:pt idx="63">
                  <c:v>0.69474999999999998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83-4018-9B4F-B5082B085B2A}"/>
            </c:ext>
          </c:extLst>
        </c:ser>
        <c:ser>
          <c:idx val="1"/>
          <c:order val="1"/>
          <c:tx>
            <c:strRef>
              <c:f>bbpnorm!$C$1</c:f>
              <c:strCache>
                <c:ptCount val="1"/>
                <c:pt idx="0">
                  <c:v>Curved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bbpnorm!$A$2:$A$65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bbpnorm!$C$2:$C$65</c:f>
              <c:numCache>
                <c:formatCode>General</c:formatCode>
                <c:ptCount val="64"/>
                <c:pt idx="0">
                  <c:v>0.83764834372668884</c:v>
                </c:pt>
                <c:pt idx="1">
                  <c:v>0.85142183972825969</c:v>
                </c:pt>
                <c:pt idx="2">
                  <c:v>0.86461743775648203</c:v>
                </c:pt>
                <c:pt idx="3">
                  <c:v>0.87723513781135609</c:v>
                </c:pt>
                <c:pt idx="4">
                  <c:v>0.88927493989288187</c:v>
                </c:pt>
                <c:pt idx="5">
                  <c:v>0.90073684400105902</c:v>
                </c:pt>
                <c:pt idx="6">
                  <c:v>0.91162085013588789</c:v>
                </c:pt>
                <c:pt idx="7">
                  <c:v>0.92192695829736837</c:v>
                </c:pt>
                <c:pt idx="8">
                  <c:v>0.93165516848550045</c:v>
                </c:pt>
                <c:pt idx="9">
                  <c:v>0.94080548070028425</c:v>
                </c:pt>
                <c:pt idx="10">
                  <c:v>0.94937789494171954</c:v>
                </c:pt>
                <c:pt idx="11">
                  <c:v>0.95737241120980643</c:v>
                </c:pt>
                <c:pt idx="12">
                  <c:v>0.96478902950454504</c:v>
                </c:pt>
                <c:pt idx="13">
                  <c:v>0.97162774982593514</c:v>
                </c:pt>
                <c:pt idx="14">
                  <c:v>0.97788857217397696</c:v>
                </c:pt>
                <c:pt idx="15">
                  <c:v>0.98357149654867027</c:v>
                </c:pt>
                <c:pt idx="16">
                  <c:v>0.98867652295001529</c:v>
                </c:pt>
                <c:pt idx="17">
                  <c:v>0.99320365137801181</c:v>
                </c:pt>
                <c:pt idx="18">
                  <c:v>0.99715288183266004</c:v>
                </c:pt>
                <c:pt idx="19">
                  <c:v>1.0005242143139599</c:v>
                </c:pt>
                <c:pt idx="20">
                  <c:v>1.0033176488219113</c:v>
                </c:pt>
                <c:pt idx="21">
                  <c:v>1.0055331853565144</c:v>
                </c:pt>
                <c:pt idx="22">
                  <c:v>1.007170823917769</c:v>
                </c:pt>
                <c:pt idx="23">
                  <c:v>1.0082305645056753</c:v>
                </c:pt>
                <c:pt idx="24">
                  <c:v>1.0087124071202331</c:v>
                </c:pt>
                <c:pt idx="25">
                  <c:v>1.0086163517614426</c:v>
                </c:pt>
                <c:pt idx="26">
                  <c:v>1.0079423984293037</c:v>
                </c:pt>
                <c:pt idx="27">
                  <c:v>1.0066905471238163</c:v>
                </c:pt>
                <c:pt idx="28">
                  <c:v>1.0048607978449806</c:v>
                </c:pt>
                <c:pt idx="29">
                  <c:v>1.0024531505927965</c:v>
                </c:pt>
                <c:pt idx="30">
                  <c:v>0.99946760536726409</c:v>
                </c:pt>
                <c:pt idx="31">
                  <c:v>0.99590416216838318</c:v>
                </c:pt>
                <c:pt idx="32">
                  <c:v>0.99176282099615398</c:v>
                </c:pt>
                <c:pt idx="33">
                  <c:v>0.98704358185057628</c:v>
                </c:pt>
                <c:pt idx="34">
                  <c:v>0.9817464447316504</c:v>
                </c:pt>
                <c:pt idx="35">
                  <c:v>0.97587140963937591</c:v>
                </c:pt>
                <c:pt idx="36">
                  <c:v>0.96941847657375313</c:v>
                </c:pt>
                <c:pt idx="37">
                  <c:v>0.96238764553478184</c:v>
                </c:pt>
                <c:pt idx="38">
                  <c:v>0.95477891652246227</c:v>
                </c:pt>
                <c:pt idx="39">
                  <c:v>0.94659228953679442</c:v>
                </c:pt>
                <c:pt idx="40">
                  <c:v>0.93782776457777806</c:v>
                </c:pt>
                <c:pt idx="41">
                  <c:v>0.92848534164541319</c:v>
                </c:pt>
                <c:pt idx="42">
                  <c:v>0.91856502073970003</c:v>
                </c:pt>
                <c:pt idx="43">
                  <c:v>0.90806680186063848</c:v>
                </c:pt>
                <c:pt idx="44">
                  <c:v>0.89699068500822865</c:v>
                </c:pt>
                <c:pt idx="45">
                  <c:v>0.88533667018247031</c:v>
                </c:pt>
                <c:pt idx="46">
                  <c:v>0.87310475738336357</c:v>
                </c:pt>
                <c:pt idx="47">
                  <c:v>0.86029494661090844</c:v>
                </c:pt>
                <c:pt idx="48">
                  <c:v>0.84690723786510502</c:v>
                </c:pt>
                <c:pt idx="49">
                  <c:v>0.83294163114595321</c:v>
                </c:pt>
                <c:pt idx="50">
                  <c:v>0.81839812645345289</c:v>
                </c:pt>
                <c:pt idx="51">
                  <c:v>0.80327672378760429</c:v>
                </c:pt>
                <c:pt idx="52">
                  <c:v>0.78757742314840717</c:v>
                </c:pt>
                <c:pt idx="53">
                  <c:v>0.77130022453586178</c:v>
                </c:pt>
                <c:pt idx="54">
                  <c:v>0.75444512794996788</c:v>
                </c:pt>
                <c:pt idx="55">
                  <c:v>0.7370121333907258</c:v>
                </c:pt>
                <c:pt idx="56">
                  <c:v>0.71900124085813522</c:v>
                </c:pt>
                <c:pt idx="57">
                  <c:v>0.70041245035219613</c:v>
                </c:pt>
                <c:pt idx="58">
                  <c:v>0.68124576187290875</c:v>
                </c:pt>
                <c:pt idx="59">
                  <c:v>0.66150117542027298</c:v>
                </c:pt>
                <c:pt idx="60">
                  <c:v>0.64117869099428881</c:v>
                </c:pt>
                <c:pt idx="61">
                  <c:v>0.62027830859495625</c:v>
                </c:pt>
                <c:pt idx="62">
                  <c:v>0.59880002822227529</c:v>
                </c:pt>
                <c:pt idx="63">
                  <c:v>0.57674384987624594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83-4018-9B4F-B5082B085B2A}"/>
            </c:ext>
          </c:extLst>
        </c:ser>
        <c:ser>
          <c:idx val="2"/>
          <c:order val="2"/>
          <c:tx>
            <c:strRef>
              <c:f>bbpnorm!$D$1</c:f>
              <c:strCache>
                <c:ptCount val="1"/>
                <c:pt idx="0">
                  <c:v>BBnorm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bbpnorm!$A$2:$A$65</c:f>
              <c:numCache>
                <c:formatCode>General</c:formatCode>
                <c:ptCount val="64"/>
                <c:pt idx="0">
                  <c:v>400</c:v>
                </c:pt>
                <c:pt idx="1">
                  <c:v>405</c:v>
                </c:pt>
                <c:pt idx="2">
                  <c:v>410</c:v>
                </c:pt>
                <c:pt idx="3">
                  <c:v>415</c:v>
                </c:pt>
                <c:pt idx="4">
                  <c:v>420</c:v>
                </c:pt>
                <c:pt idx="5">
                  <c:v>425</c:v>
                </c:pt>
                <c:pt idx="6">
                  <c:v>430</c:v>
                </c:pt>
                <c:pt idx="7">
                  <c:v>435</c:v>
                </c:pt>
                <c:pt idx="8">
                  <c:v>440</c:v>
                </c:pt>
                <c:pt idx="9">
                  <c:v>445</c:v>
                </c:pt>
                <c:pt idx="10">
                  <c:v>450</c:v>
                </c:pt>
                <c:pt idx="11">
                  <c:v>455</c:v>
                </c:pt>
                <c:pt idx="12">
                  <c:v>460</c:v>
                </c:pt>
                <c:pt idx="13">
                  <c:v>465</c:v>
                </c:pt>
                <c:pt idx="14">
                  <c:v>470</c:v>
                </c:pt>
                <c:pt idx="15">
                  <c:v>475</c:v>
                </c:pt>
                <c:pt idx="16">
                  <c:v>480</c:v>
                </c:pt>
                <c:pt idx="17">
                  <c:v>485</c:v>
                </c:pt>
                <c:pt idx="18">
                  <c:v>490</c:v>
                </c:pt>
                <c:pt idx="19">
                  <c:v>495</c:v>
                </c:pt>
                <c:pt idx="20">
                  <c:v>500</c:v>
                </c:pt>
                <c:pt idx="21">
                  <c:v>505</c:v>
                </c:pt>
                <c:pt idx="22">
                  <c:v>510</c:v>
                </c:pt>
                <c:pt idx="23">
                  <c:v>515</c:v>
                </c:pt>
                <c:pt idx="24">
                  <c:v>520</c:v>
                </c:pt>
                <c:pt idx="25">
                  <c:v>525</c:v>
                </c:pt>
                <c:pt idx="26">
                  <c:v>530</c:v>
                </c:pt>
                <c:pt idx="27">
                  <c:v>535</c:v>
                </c:pt>
                <c:pt idx="28">
                  <c:v>540</c:v>
                </c:pt>
                <c:pt idx="29">
                  <c:v>545</c:v>
                </c:pt>
                <c:pt idx="30">
                  <c:v>550</c:v>
                </c:pt>
                <c:pt idx="31">
                  <c:v>555</c:v>
                </c:pt>
                <c:pt idx="32">
                  <c:v>560</c:v>
                </c:pt>
                <c:pt idx="33">
                  <c:v>565</c:v>
                </c:pt>
                <c:pt idx="34">
                  <c:v>570</c:v>
                </c:pt>
                <c:pt idx="35">
                  <c:v>575</c:v>
                </c:pt>
                <c:pt idx="36">
                  <c:v>580</c:v>
                </c:pt>
                <c:pt idx="37">
                  <c:v>585</c:v>
                </c:pt>
                <c:pt idx="38">
                  <c:v>590</c:v>
                </c:pt>
                <c:pt idx="39">
                  <c:v>595</c:v>
                </c:pt>
                <c:pt idx="40">
                  <c:v>600</c:v>
                </c:pt>
                <c:pt idx="41">
                  <c:v>605</c:v>
                </c:pt>
                <c:pt idx="42">
                  <c:v>610</c:v>
                </c:pt>
                <c:pt idx="43">
                  <c:v>615</c:v>
                </c:pt>
                <c:pt idx="44">
                  <c:v>620</c:v>
                </c:pt>
                <c:pt idx="45">
                  <c:v>625</c:v>
                </c:pt>
                <c:pt idx="46">
                  <c:v>630</c:v>
                </c:pt>
                <c:pt idx="47">
                  <c:v>635</c:v>
                </c:pt>
                <c:pt idx="48">
                  <c:v>640</c:v>
                </c:pt>
                <c:pt idx="49">
                  <c:v>645</c:v>
                </c:pt>
                <c:pt idx="50">
                  <c:v>650</c:v>
                </c:pt>
                <c:pt idx="51">
                  <c:v>655</c:v>
                </c:pt>
                <c:pt idx="52">
                  <c:v>660</c:v>
                </c:pt>
                <c:pt idx="53">
                  <c:v>665</c:v>
                </c:pt>
                <c:pt idx="54">
                  <c:v>670</c:v>
                </c:pt>
                <c:pt idx="55">
                  <c:v>675</c:v>
                </c:pt>
                <c:pt idx="56">
                  <c:v>680</c:v>
                </c:pt>
                <c:pt idx="57">
                  <c:v>685</c:v>
                </c:pt>
                <c:pt idx="58">
                  <c:v>690</c:v>
                </c:pt>
                <c:pt idx="59">
                  <c:v>695</c:v>
                </c:pt>
                <c:pt idx="60">
                  <c:v>700</c:v>
                </c:pt>
                <c:pt idx="61">
                  <c:v>705</c:v>
                </c:pt>
                <c:pt idx="62">
                  <c:v>710</c:v>
                </c:pt>
                <c:pt idx="63">
                  <c:v>715</c:v>
                </c:pt>
              </c:numCache>
            </c:numRef>
          </c:xVal>
          <c:yVal>
            <c:numRef>
              <c:f>bbpnorm!$D$2:$D$65</c:f>
              <c:numCache>
                <c:formatCode>General</c:formatCode>
                <c:ptCount val="64"/>
                <c:pt idx="0">
                  <c:v>1.0260741718633444</c:v>
                </c:pt>
                <c:pt idx="1">
                  <c:v>1.0288359198641299</c:v>
                </c:pt>
                <c:pt idx="2">
                  <c:v>1.031308718878241</c:v>
                </c:pt>
                <c:pt idx="3">
                  <c:v>1.033492568905678</c:v>
                </c:pt>
                <c:pt idx="4">
                  <c:v>1.0353874699464409</c:v>
                </c:pt>
                <c:pt idx="5">
                  <c:v>1.0369934220005295</c:v>
                </c:pt>
                <c:pt idx="6">
                  <c:v>1.038310425067944</c:v>
                </c:pt>
                <c:pt idx="7">
                  <c:v>1.0393384791486842</c:v>
                </c:pt>
                <c:pt idx="8">
                  <c:v>1.0400775842427503</c:v>
                </c:pt>
                <c:pt idx="9">
                  <c:v>1.0405277403501421</c:v>
                </c:pt>
                <c:pt idx="10">
                  <c:v>1.0406889474708598</c:v>
                </c:pt>
                <c:pt idx="11">
                  <c:v>1.0405612056049032</c:v>
                </c:pt>
                <c:pt idx="12">
                  <c:v>1.0401445147522725</c:v>
                </c:pt>
                <c:pt idx="13">
                  <c:v>1.0394388749129675</c:v>
                </c:pt>
                <c:pt idx="14">
                  <c:v>1.0384442860869885</c:v>
                </c:pt>
                <c:pt idx="15">
                  <c:v>1.037160748274335</c:v>
                </c:pt>
                <c:pt idx="16">
                  <c:v>1.0355882614750076</c:v>
                </c:pt>
                <c:pt idx="17">
                  <c:v>1.0337268256890058</c:v>
                </c:pt>
                <c:pt idx="18">
                  <c:v>1.0315764409163299</c:v>
                </c:pt>
                <c:pt idx="19">
                  <c:v>1.0291371071569799</c:v>
                </c:pt>
                <c:pt idx="20">
                  <c:v>1.0264088244109557</c:v>
                </c:pt>
                <c:pt idx="21">
                  <c:v>1.0233915926782573</c:v>
                </c:pt>
                <c:pt idx="22">
                  <c:v>1.0200854119588845</c:v>
                </c:pt>
                <c:pt idx="23">
                  <c:v>1.0164902822528377</c:v>
                </c:pt>
                <c:pt idx="24">
                  <c:v>1.0126062035601167</c:v>
                </c:pt>
                <c:pt idx="25">
                  <c:v>1.0084331758807212</c:v>
                </c:pt>
                <c:pt idx="26">
                  <c:v>1.0039711992146518</c:v>
                </c:pt>
                <c:pt idx="27">
                  <c:v>0.99922027356190823</c:v>
                </c:pt>
                <c:pt idx="28">
                  <c:v>0.99418039892249033</c:v>
                </c:pt>
                <c:pt idx="29">
                  <c:v>0.98885157529639822</c:v>
                </c:pt>
                <c:pt idx="30">
                  <c:v>0.98323380268363203</c:v>
                </c:pt>
                <c:pt idx="31">
                  <c:v>0.97732708108419164</c:v>
                </c:pt>
                <c:pt idx="32">
                  <c:v>0.97113141049807705</c:v>
                </c:pt>
                <c:pt idx="33">
                  <c:v>0.96464679092528816</c:v>
                </c:pt>
                <c:pt idx="34">
                  <c:v>0.95787322236582517</c:v>
                </c:pt>
                <c:pt idx="35">
                  <c:v>0.95081070481968788</c:v>
                </c:pt>
                <c:pt idx="36">
                  <c:v>0.9434592382868765</c:v>
                </c:pt>
                <c:pt idx="37">
                  <c:v>0.93581882276739092</c:v>
                </c:pt>
                <c:pt idx="38">
                  <c:v>0.92788945826123115</c:v>
                </c:pt>
                <c:pt idx="39">
                  <c:v>0.91967114476839718</c:v>
                </c:pt>
                <c:pt idx="40">
                  <c:v>0.911163882288889</c:v>
                </c:pt>
                <c:pt idx="41">
                  <c:v>0.90236767082270664</c:v>
                </c:pt>
                <c:pt idx="42">
                  <c:v>0.89328251036985007</c:v>
                </c:pt>
                <c:pt idx="43">
                  <c:v>0.8839084009303193</c:v>
                </c:pt>
                <c:pt idx="44">
                  <c:v>0.87424534250411434</c:v>
                </c:pt>
                <c:pt idx="45">
                  <c:v>0.86429333509123518</c:v>
                </c:pt>
                <c:pt idx="46">
                  <c:v>0.85405237869168182</c:v>
                </c:pt>
                <c:pt idx="47">
                  <c:v>0.84352247330545427</c:v>
                </c:pt>
                <c:pt idx="48">
                  <c:v>0.83270361893255251</c:v>
                </c:pt>
                <c:pt idx="49">
                  <c:v>0.82159581557297656</c:v>
                </c:pt>
                <c:pt idx="50">
                  <c:v>0.81019906322672641</c:v>
                </c:pt>
                <c:pt idx="51">
                  <c:v>0.79851336189380206</c:v>
                </c:pt>
                <c:pt idx="52">
                  <c:v>0.78653871157420352</c:v>
                </c:pt>
                <c:pt idx="53">
                  <c:v>0.77427511226793089</c:v>
                </c:pt>
                <c:pt idx="54">
                  <c:v>0.76172256397498395</c:v>
                </c:pt>
                <c:pt idx="55">
                  <c:v>0.74888106669536292</c:v>
                </c:pt>
                <c:pt idx="56">
                  <c:v>0.73575062042906758</c:v>
                </c:pt>
                <c:pt idx="57">
                  <c:v>0.72233122517609805</c:v>
                </c:pt>
                <c:pt idx="58">
                  <c:v>0.70862288093645431</c:v>
                </c:pt>
                <c:pt idx="59">
                  <c:v>0.69462558771013649</c:v>
                </c:pt>
                <c:pt idx="60">
                  <c:v>0.68033934549714448</c:v>
                </c:pt>
                <c:pt idx="61">
                  <c:v>0.66576415429747815</c:v>
                </c:pt>
                <c:pt idx="62">
                  <c:v>0.65090001411113763</c:v>
                </c:pt>
                <c:pt idx="63">
                  <c:v>0.6357469249381229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83-4018-9B4F-B5082B08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55360"/>
        <c:axId val="72256896"/>
      </c:scatterChart>
      <c:valAx>
        <c:axId val="72255360"/>
        <c:scaling>
          <c:orientation val="minMax"/>
          <c:max val="700"/>
          <c:min val="4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256896"/>
        <c:crosses val="autoZero"/>
        <c:crossBetween val="midCat"/>
      </c:valAx>
      <c:valAx>
        <c:axId val="7225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255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0882352941176461"/>
          <c:y val="0.37500064016388196"/>
          <c:w val="0.98319327731092443"/>
          <c:h val="0.570122911465335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3</xdr:row>
          <xdr:rowOff>152400</xdr:rowOff>
        </xdr:from>
        <xdr:to>
          <xdr:col>19</xdr:col>
          <xdr:colOff>219075</xdr:colOff>
          <xdr:row>18</xdr:row>
          <xdr:rowOff>142875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81A362BE-95DB-70EC-869D-58795F27E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19050</xdr:rowOff>
        </xdr:from>
        <xdr:to>
          <xdr:col>11</xdr:col>
          <xdr:colOff>428625</xdr:colOff>
          <xdr:row>46</xdr:row>
          <xdr:rowOff>38100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3D3904C-4B58-4CBE-D075-5D9D0C5F4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2</xdr:row>
      <xdr:rowOff>57150</xdr:rowOff>
    </xdr:from>
    <xdr:to>
      <xdr:col>10</xdr:col>
      <xdr:colOff>419100</xdr:colOff>
      <xdr:row>14</xdr:row>
      <xdr:rowOff>57150</xdr:rowOff>
    </xdr:to>
    <xdr:graphicFrame macro="">
      <xdr:nvGraphicFramePr>
        <xdr:cNvPr id="1105" name="Chart 3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257175</xdr:colOff>
      <xdr:row>14</xdr:row>
      <xdr:rowOff>123825</xdr:rowOff>
    </xdr:from>
    <xdr:to>
      <xdr:col>10</xdr:col>
      <xdr:colOff>419100</xdr:colOff>
      <xdr:row>27</xdr:row>
      <xdr:rowOff>152400</xdr:rowOff>
    </xdr:to>
    <xdr:graphicFrame macro="">
      <xdr:nvGraphicFramePr>
        <xdr:cNvPr id="1106" name="Chart 4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29</xdr:row>
          <xdr:rowOff>0</xdr:rowOff>
        </xdr:from>
        <xdr:to>
          <xdr:col>9</xdr:col>
          <xdr:colOff>95250</xdr:colOff>
          <xdr:row>91</xdr:row>
          <xdr:rowOff>95250</xdr:rowOff>
        </xdr:to>
        <xdr:sp macro="" textlink="">
          <xdr:nvSpPr>
            <xdr:cNvPr id="1029" name="Object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4E6701D-B92B-622D-42C0-FE2AF4260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29</xdr:row>
          <xdr:rowOff>133350</xdr:rowOff>
        </xdr:from>
        <xdr:to>
          <xdr:col>19</xdr:col>
          <xdr:colOff>552450</xdr:colOff>
          <xdr:row>68</xdr:row>
          <xdr:rowOff>57150</xdr:rowOff>
        </xdr:to>
        <xdr:sp macro="" textlink="">
          <xdr:nvSpPr>
            <xdr:cNvPr id="1032" name="Object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75C19945-C04B-5BA3-AD54-64C68C0F7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76200</xdr:rowOff>
    </xdr:from>
    <xdr:to>
      <xdr:col>6</xdr:col>
      <xdr:colOff>371475</xdr:colOff>
      <xdr:row>14</xdr:row>
      <xdr:rowOff>152400</xdr:rowOff>
    </xdr:to>
    <xdr:graphicFrame macro="">
      <xdr:nvGraphicFramePr>
        <xdr:cNvPr id="7274" name="Chart 1">
          <a:extLst>
            <a:ext uri="{FF2B5EF4-FFF2-40B4-BE49-F238E27FC236}">
              <a16:creationId xmlns:a16="http://schemas.microsoft.com/office/drawing/2014/main" id="{00000000-0008-0000-0400-00006A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133350</xdr:colOff>
      <xdr:row>0</xdr:row>
      <xdr:rowOff>76200</xdr:rowOff>
    </xdr:from>
    <xdr:to>
      <xdr:col>13</xdr:col>
      <xdr:colOff>523875</xdr:colOff>
      <xdr:row>14</xdr:row>
      <xdr:rowOff>142875</xdr:rowOff>
    </xdr:to>
    <xdr:graphicFrame macro="">
      <xdr:nvGraphicFramePr>
        <xdr:cNvPr id="7275" name="Chart 2">
          <a:extLst>
            <a:ext uri="{FF2B5EF4-FFF2-40B4-BE49-F238E27FC236}">
              <a16:creationId xmlns:a16="http://schemas.microsoft.com/office/drawing/2014/main" id="{00000000-0008-0000-0400-00006B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247650</xdr:colOff>
      <xdr:row>15</xdr:row>
      <xdr:rowOff>142875</xdr:rowOff>
    </xdr:from>
    <xdr:to>
      <xdr:col>6</xdr:col>
      <xdr:colOff>371475</xdr:colOff>
      <xdr:row>30</xdr:row>
      <xdr:rowOff>104775</xdr:rowOff>
    </xdr:to>
    <xdr:graphicFrame macro="">
      <xdr:nvGraphicFramePr>
        <xdr:cNvPr id="7276" name="Chart 3">
          <a:extLst>
            <a:ext uri="{FF2B5EF4-FFF2-40B4-BE49-F238E27FC236}">
              <a16:creationId xmlns:a16="http://schemas.microsoft.com/office/drawing/2014/main" id="{00000000-0008-0000-0400-00006C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11</xdr:row>
      <xdr:rowOff>47625</xdr:rowOff>
    </xdr:from>
    <xdr:to>
      <xdr:col>13</xdr:col>
      <xdr:colOff>238125</xdr:colOff>
      <xdr:row>30</xdr:row>
      <xdr:rowOff>95250</xdr:rowOff>
    </xdr:to>
    <xdr:graphicFrame macro="">
      <xdr:nvGraphicFramePr>
        <xdr:cNvPr id="5156" name="Chart 1">
          <a:extLst>
            <a:ext uri="{FF2B5EF4-FFF2-40B4-BE49-F238E27FC236}">
              <a16:creationId xmlns:a16="http://schemas.microsoft.com/office/drawing/2014/main" id="{00000000-0008-0000-0A00-000024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3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40"/>
  <sheetViews>
    <sheetView workbookViewId="0">
      <selection activeCell="P147" sqref="P147"/>
    </sheetView>
  </sheetViews>
  <sheetFormatPr defaultRowHeight="12.75"/>
  <sheetData>
    <row r="1" spans="1:76" ht="15.75">
      <c r="A1" s="3" t="s">
        <v>20</v>
      </c>
      <c r="B1" s="3" t="s">
        <v>21</v>
      </c>
      <c r="C1" s="3" t="s">
        <v>33</v>
      </c>
      <c r="D1" s="3" t="s">
        <v>22</v>
      </c>
      <c r="E1" s="3" t="s">
        <v>23</v>
      </c>
      <c r="F1" s="3" t="s">
        <v>26</v>
      </c>
      <c r="G1" s="3" t="s">
        <v>24</v>
      </c>
      <c r="H1" s="3" t="s">
        <v>25</v>
      </c>
      <c r="I1" s="3" t="s">
        <v>178</v>
      </c>
      <c r="J1" s="3" t="s">
        <v>138</v>
      </c>
      <c r="K1" s="3" t="s">
        <v>141</v>
      </c>
      <c r="L1" s="3" t="s">
        <v>142</v>
      </c>
      <c r="M1" s="3" t="s">
        <v>253</v>
      </c>
      <c r="N1" s="3" t="s">
        <v>254</v>
      </c>
      <c r="O1" s="3" t="s">
        <v>255</v>
      </c>
      <c r="P1" s="3" t="s">
        <v>256</v>
      </c>
      <c r="Q1" s="3" t="s">
        <v>257</v>
      </c>
      <c r="R1" s="3" t="s">
        <v>258</v>
      </c>
      <c r="S1" s="3" t="s">
        <v>259</v>
      </c>
      <c r="T1" s="3" t="s">
        <v>260</v>
      </c>
      <c r="U1" s="3" t="s">
        <v>261</v>
      </c>
      <c r="V1" s="3" t="s">
        <v>262</v>
      </c>
      <c r="W1" s="3" t="s">
        <v>263</v>
      </c>
      <c r="X1" s="3" t="s">
        <v>264</v>
      </c>
      <c r="Y1" s="3" t="s">
        <v>265</v>
      </c>
      <c r="Z1" s="3" t="s">
        <v>266</v>
      </c>
      <c r="AA1" s="3" t="s">
        <v>267</v>
      </c>
      <c r="AB1" s="3" t="s">
        <v>268</v>
      </c>
      <c r="AC1" s="3" t="s">
        <v>269</v>
      </c>
      <c r="AD1" s="3" t="s">
        <v>270</v>
      </c>
      <c r="AE1" s="3" t="s">
        <v>271</v>
      </c>
      <c r="AF1" s="3" t="s">
        <v>272</v>
      </c>
      <c r="AG1" s="3" t="s">
        <v>273</v>
      </c>
      <c r="AH1" s="3" t="s">
        <v>274</v>
      </c>
      <c r="AI1" s="3" t="s">
        <v>275</v>
      </c>
      <c r="AJ1" s="3" t="s">
        <v>276</v>
      </c>
      <c r="AK1" s="3" t="s">
        <v>277</v>
      </c>
      <c r="AL1" s="3" t="s">
        <v>278</v>
      </c>
      <c r="AM1" s="3" t="s">
        <v>279</v>
      </c>
      <c r="AN1" s="3" t="s">
        <v>280</v>
      </c>
      <c r="AO1" s="3" t="s">
        <v>281</v>
      </c>
      <c r="AP1" s="3" t="s">
        <v>282</v>
      </c>
      <c r="AQ1" s="3" t="s">
        <v>283</v>
      </c>
      <c r="AR1" s="3" t="s">
        <v>284</v>
      </c>
      <c r="AS1" s="3" t="s">
        <v>285</v>
      </c>
      <c r="AT1" s="3" t="s">
        <v>286</v>
      </c>
      <c r="AU1" s="3" t="s">
        <v>287</v>
      </c>
      <c r="AV1" s="3" t="s">
        <v>288</v>
      </c>
      <c r="AW1" s="3" t="s">
        <v>289</v>
      </c>
      <c r="AX1" s="3" t="s">
        <v>290</v>
      </c>
      <c r="AY1" s="3" t="s">
        <v>291</v>
      </c>
      <c r="AZ1" s="3" t="s">
        <v>292</v>
      </c>
      <c r="BA1" s="3" t="s">
        <v>293</v>
      </c>
      <c r="BB1" s="3" t="s">
        <v>294</v>
      </c>
      <c r="BC1" s="3" t="s">
        <v>295</v>
      </c>
      <c r="BD1" s="3" t="s">
        <v>296</v>
      </c>
      <c r="BE1" s="3" t="s">
        <v>297</v>
      </c>
      <c r="BF1" s="3" t="s">
        <v>298</v>
      </c>
      <c r="BG1" s="3" t="s">
        <v>299</v>
      </c>
      <c r="BH1" s="3" t="s">
        <v>300</v>
      </c>
      <c r="BI1" s="3" t="s">
        <v>301</v>
      </c>
      <c r="BJ1" s="3" t="s">
        <v>302</v>
      </c>
      <c r="BK1" s="3" t="s">
        <v>303</v>
      </c>
      <c r="BL1" s="3" t="s">
        <v>304</v>
      </c>
      <c r="BM1" s="3" t="s">
        <v>305</v>
      </c>
      <c r="BN1" s="3" t="s">
        <v>306</v>
      </c>
      <c r="BO1" s="3" t="s">
        <v>307</v>
      </c>
      <c r="BP1" s="3" t="s">
        <v>308</v>
      </c>
      <c r="BQ1" s="3" t="s">
        <v>309</v>
      </c>
      <c r="BR1" s="3" t="s">
        <v>310</v>
      </c>
      <c r="BS1" s="3" t="s">
        <v>311</v>
      </c>
      <c r="BT1" s="3" t="s">
        <v>312</v>
      </c>
      <c r="BU1" s="3" t="s">
        <v>313</v>
      </c>
      <c r="BV1" s="3" t="s">
        <v>314</v>
      </c>
      <c r="BW1" s="3" t="s">
        <v>315</v>
      </c>
      <c r="BX1" s="3" t="s">
        <v>316</v>
      </c>
    </row>
    <row r="2" spans="1:76">
      <c r="A2" t="s">
        <v>182</v>
      </c>
      <c r="B2">
        <v>2008</v>
      </c>
      <c r="C2">
        <v>12</v>
      </c>
      <c r="D2">
        <v>10</v>
      </c>
      <c r="E2">
        <v>13.133333333333333</v>
      </c>
      <c r="F2">
        <v>3</v>
      </c>
      <c r="G2">
        <v>0.387154</v>
      </c>
      <c r="H2">
        <v>4.6685821732487947</v>
      </c>
      <c r="I2">
        <v>3</v>
      </c>
      <c r="J2">
        <v>0.73821549519243745</v>
      </c>
      <c r="K2">
        <v>1.5070769700861066</v>
      </c>
      <c r="L2">
        <v>1.1125475717652336</v>
      </c>
      <c r="M2">
        <v>1.9639946068550769</v>
      </c>
      <c r="N2">
        <v>1.8527026653990311</v>
      </c>
      <c r="O2">
        <v>1.7492243573283457</v>
      </c>
      <c r="P2">
        <v>1.6597023992609548</v>
      </c>
      <c r="Q2">
        <v>1.5739759777100986</v>
      </c>
      <c r="R2">
        <v>1.4940425240793249</v>
      </c>
      <c r="S2">
        <v>1.4263000282273355</v>
      </c>
      <c r="T2">
        <v>1.3624480132187033</v>
      </c>
      <c r="U2">
        <v>1.3006600615167445</v>
      </c>
      <c r="V2">
        <v>1.2333568751371073</v>
      </c>
      <c r="W2">
        <v>1.167498679747426</v>
      </c>
      <c r="X2">
        <v>1.1102677281535627</v>
      </c>
      <c r="Y2">
        <v>1.0599136316583846</v>
      </c>
      <c r="Z2">
        <v>1.013448070305776</v>
      </c>
      <c r="AA2">
        <v>0.96727457224272251</v>
      </c>
      <c r="AB2">
        <v>0.9221186905763149</v>
      </c>
      <c r="AC2">
        <v>0.88045753667952131</v>
      </c>
      <c r="AD2">
        <v>0.84345253281455679</v>
      </c>
      <c r="AE2">
        <v>0.80904044095667982</v>
      </c>
      <c r="AF2">
        <v>0.7774955358507184</v>
      </c>
      <c r="AG2">
        <v>0.74975445660482598</v>
      </c>
      <c r="AH2">
        <v>0.7243142583752753</v>
      </c>
      <c r="AI2">
        <v>0.70206847601171174</v>
      </c>
      <c r="AJ2">
        <v>0.68063692586058533</v>
      </c>
      <c r="AK2">
        <v>0.6550673361270023</v>
      </c>
      <c r="AL2">
        <v>0.63107008536441855</v>
      </c>
      <c r="AM2">
        <v>0.61044825453274365</v>
      </c>
      <c r="AN2">
        <v>0.59111233306404432</v>
      </c>
      <c r="AO2">
        <v>0.57393616964652128</v>
      </c>
      <c r="AP2">
        <v>0.55917889246773544</v>
      </c>
      <c r="AQ2">
        <v>0.54550561874347503</v>
      </c>
      <c r="AR2">
        <v>0.53312026133051482</v>
      </c>
      <c r="AS2">
        <v>0.5155049506808983</v>
      </c>
      <c r="AT2">
        <v>0.50384102631742667</v>
      </c>
      <c r="AU2">
        <v>0.49624034155958052</v>
      </c>
      <c r="AV2">
        <v>0.49429879475101535</v>
      </c>
      <c r="AW2">
        <v>0.50162044212198209</v>
      </c>
      <c r="AX2">
        <v>0.52053739196238014</v>
      </c>
      <c r="AY2">
        <v>0.54489902705008197</v>
      </c>
      <c r="AZ2">
        <v>0.57775890739524227</v>
      </c>
      <c r="BA2">
        <v>0.63995024391008681</v>
      </c>
      <c r="BB2">
        <v>0.67540089334234343</v>
      </c>
      <c r="BC2">
        <v>0.68216626682065507</v>
      </c>
      <c r="BD2">
        <v>0.68242402472298025</v>
      </c>
      <c r="BE2">
        <v>0.68771431822273654</v>
      </c>
      <c r="BF2">
        <v>0.69138892126718932</v>
      </c>
      <c r="BG2">
        <v>0.69552656046370043</v>
      </c>
      <c r="BH2">
        <v>0.70203013060284292</v>
      </c>
      <c r="BI2">
        <v>0.7067228043616598</v>
      </c>
      <c r="BJ2">
        <v>0.71849591043032435</v>
      </c>
      <c r="BK2">
        <v>0.73364458510577468</v>
      </c>
      <c r="BL2">
        <v>0.77428823372983391</v>
      </c>
      <c r="BM2">
        <v>0.83680561913040985</v>
      </c>
      <c r="BN2">
        <v>0.88113995808580348</v>
      </c>
      <c r="BO2">
        <v>0.91213491979215289</v>
      </c>
      <c r="BP2">
        <v>0.92561466432261363</v>
      </c>
      <c r="BQ2">
        <v>0.93010100924139594</v>
      </c>
      <c r="BR2">
        <v>0.92197839996172071</v>
      </c>
      <c r="BS2">
        <v>0.91985473700910803</v>
      </c>
      <c r="BT2">
        <v>0.94314071167270697</v>
      </c>
      <c r="BU2">
        <v>1.0040353861923954</v>
      </c>
      <c r="BV2">
        <v>1.0942467288779818</v>
      </c>
      <c r="BW2">
        <v>1.2395715096307687</v>
      </c>
      <c r="BX2">
        <v>1.4617811302943071</v>
      </c>
    </row>
    <row r="3" spans="1:76">
      <c r="A3" t="s">
        <v>183</v>
      </c>
      <c r="B3">
        <v>2008</v>
      </c>
      <c r="C3">
        <v>12</v>
      </c>
      <c r="D3">
        <v>10</v>
      </c>
      <c r="E3">
        <v>12.516666666666667</v>
      </c>
      <c r="F3">
        <v>3</v>
      </c>
      <c r="G3">
        <v>0.59523800000000004</v>
      </c>
      <c r="H3">
        <v>5.5610413380098338</v>
      </c>
      <c r="I3">
        <v>2.6</v>
      </c>
      <c r="J3">
        <v>0.7360495397921305</v>
      </c>
      <c r="K3">
        <v>1.7541991140861946</v>
      </c>
      <c r="L3">
        <v>1.2911774506269065</v>
      </c>
      <c r="M3">
        <v>2.4406692584931937</v>
      </c>
      <c r="N3">
        <v>2.2819164144131823</v>
      </c>
      <c r="O3">
        <v>2.1352019531278077</v>
      </c>
      <c r="P3">
        <v>2.0071461635856243</v>
      </c>
      <c r="Q3">
        <v>1.8860824265783394</v>
      </c>
      <c r="R3">
        <v>1.7740113705315044</v>
      </c>
      <c r="S3">
        <v>1.6779014686947191</v>
      </c>
      <c r="T3">
        <v>1.5882067896633676</v>
      </c>
      <c r="U3">
        <v>1.5026028968226919</v>
      </c>
      <c r="V3">
        <v>1.4125090349975222</v>
      </c>
      <c r="W3">
        <v>1.3255114168722075</v>
      </c>
      <c r="X3">
        <v>1.2498057002857217</v>
      </c>
      <c r="Y3">
        <v>1.183122162629747</v>
      </c>
      <c r="Z3">
        <v>1.1219385706442659</v>
      </c>
      <c r="AA3">
        <v>1.0621341647695535</v>
      </c>
      <c r="AB3">
        <v>1.0043947901468016</v>
      </c>
      <c r="AC3">
        <v>0.95137387552987063</v>
      </c>
      <c r="AD3">
        <v>0.90442085756250834</v>
      </c>
      <c r="AE3">
        <v>0.86101201656457715</v>
      </c>
      <c r="AF3">
        <v>0.82129678103745274</v>
      </c>
      <c r="AG3">
        <v>0.78625965828456978</v>
      </c>
      <c r="AH3">
        <v>0.75396222978140837</v>
      </c>
      <c r="AI3">
        <v>0.7253762535258933</v>
      </c>
      <c r="AJ3">
        <v>0.69807114611290255</v>
      </c>
      <c r="AK3">
        <v>0.66760915749340943</v>
      </c>
      <c r="AL3">
        <v>0.63932595575519513</v>
      </c>
      <c r="AM3">
        <v>0.61490436537706084</v>
      </c>
      <c r="AN3">
        <v>0.59214871557761706</v>
      </c>
      <c r="AO3">
        <v>0.57193238815646841</v>
      </c>
      <c r="AP3">
        <v>0.55431912916783299</v>
      </c>
      <c r="AQ3">
        <v>0.53778268344886648</v>
      </c>
      <c r="AR3">
        <v>0.52322169589461476</v>
      </c>
      <c r="AS3">
        <v>0.50327371089562933</v>
      </c>
      <c r="AT3">
        <v>0.48994333869373174</v>
      </c>
      <c r="AU3">
        <v>0.48062148130543558</v>
      </c>
      <c r="AV3">
        <v>0.47715320124771343</v>
      </c>
      <c r="AW3">
        <v>0.48308985523737141</v>
      </c>
      <c r="AX3">
        <v>0.50049648456780038</v>
      </c>
      <c r="AY3">
        <v>0.52332915289509629</v>
      </c>
      <c r="AZ3">
        <v>0.55462530781933017</v>
      </c>
      <c r="BA3">
        <v>0.61490152620497984</v>
      </c>
      <c r="BB3">
        <v>0.64948667836681284</v>
      </c>
      <c r="BC3">
        <v>0.6563488475346626</v>
      </c>
      <c r="BD3">
        <v>0.65689714453523129</v>
      </c>
      <c r="BE3">
        <v>0.66238421592805397</v>
      </c>
      <c r="BF3">
        <v>0.66607853787320792</v>
      </c>
      <c r="BG3">
        <v>0.67027773312003103</v>
      </c>
      <c r="BH3">
        <v>0.67691920311639109</v>
      </c>
      <c r="BI3">
        <v>0.68157036576390473</v>
      </c>
      <c r="BJ3">
        <v>0.69338015327744063</v>
      </c>
      <c r="BK3">
        <v>0.70885855871985348</v>
      </c>
      <c r="BL3">
        <v>0.75023449838536216</v>
      </c>
      <c r="BM3">
        <v>0.81479567022208976</v>
      </c>
      <c r="BN3">
        <v>0.86234708184369713</v>
      </c>
      <c r="BO3">
        <v>0.89648614384702163</v>
      </c>
      <c r="BP3">
        <v>0.91122272401135074</v>
      </c>
      <c r="BQ3">
        <v>0.91458661704531741</v>
      </c>
      <c r="BR3">
        <v>0.90317850010177858</v>
      </c>
      <c r="BS3">
        <v>0.89700267979168058</v>
      </c>
      <c r="BT3">
        <v>0.91711829891769892</v>
      </c>
      <c r="BU3">
        <v>0.97569498784325848</v>
      </c>
      <c r="BV3">
        <v>1.0646144185522268</v>
      </c>
      <c r="BW3">
        <v>1.2081229078425797</v>
      </c>
      <c r="BX3">
        <v>1.4282731059962592</v>
      </c>
    </row>
    <row r="4" spans="1:76">
      <c r="A4" t="s">
        <v>184</v>
      </c>
      <c r="B4">
        <v>2008</v>
      </c>
      <c r="C4">
        <v>12</v>
      </c>
      <c r="D4">
        <v>10</v>
      </c>
      <c r="E4">
        <v>11.056944444444444</v>
      </c>
      <c r="F4">
        <v>3</v>
      </c>
      <c r="G4">
        <v>0.42055399999999998</v>
      </c>
      <c r="H4">
        <v>3.6900763647815751</v>
      </c>
      <c r="I4">
        <v>2.7</v>
      </c>
      <c r="J4">
        <v>0.69446683732521863</v>
      </c>
      <c r="K4">
        <v>1.6813494410054239</v>
      </c>
      <c r="L4">
        <v>1.167641428733561</v>
      </c>
      <c r="M4">
        <v>1.9405650080201293</v>
      </c>
      <c r="N4">
        <v>1.8230158628277169</v>
      </c>
      <c r="O4">
        <v>1.714293609361464</v>
      </c>
      <c r="P4">
        <v>1.6192755887656753</v>
      </c>
      <c r="Q4">
        <v>1.529276972385645</v>
      </c>
      <c r="R4">
        <v>1.4457802851052544</v>
      </c>
      <c r="S4">
        <v>1.3739412640668278</v>
      </c>
      <c r="T4">
        <v>1.3067216337211571</v>
      </c>
      <c r="U4">
        <v>1.2425702473345084</v>
      </c>
      <c r="V4">
        <v>1.1749492536853121</v>
      </c>
      <c r="W4">
        <v>1.1096376974939726</v>
      </c>
      <c r="X4">
        <v>1.0522028828887191</v>
      </c>
      <c r="Y4">
        <v>1.0013020362651961</v>
      </c>
      <c r="Z4">
        <v>0.95442813848198549</v>
      </c>
      <c r="AA4">
        <v>0.90850120547761604</v>
      </c>
      <c r="AB4">
        <v>0.86410931721321127</v>
      </c>
      <c r="AC4">
        <v>0.82329036530911393</v>
      </c>
      <c r="AD4">
        <v>0.78679213112804081</v>
      </c>
      <c r="AE4">
        <v>0.75301376199173631</v>
      </c>
      <c r="AF4">
        <v>0.72224123289040931</v>
      </c>
      <c r="AG4">
        <v>0.69519027462425287</v>
      </c>
      <c r="AH4">
        <v>0.67081219498045652</v>
      </c>
      <c r="AI4">
        <v>0.64977314253034457</v>
      </c>
      <c r="AJ4">
        <v>0.6297692640628485</v>
      </c>
      <c r="AK4">
        <v>0.6053860685235869</v>
      </c>
      <c r="AL4">
        <v>0.58245572342608709</v>
      </c>
      <c r="AM4">
        <v>0.56276095865565812</v>
      </c>
      <c r="AN4">
        <v>0.54438411666646003</v>
      </c>
      <c r="AO4">
        <v>0.52809103006310054</v>
      </c>
      <c r="AP4">
        <v>0.5143030723757116</v>
      </c>
      <c r="AQ4">
        <v>0.50194965599080321</v>
      </c>
      <c r="AR4">
        <v>0.49035839595459357</v>
      </c>
      <c r="AS4">
        <v>0.47434505435776442</v>
      </c>
      <c r="AT4">
        <v>0.46345281279816869</v>
      </c>
      <c r="AU4">
        <v>0.45673455783314781</v>
      </c>
      <c r="AV4">
        <v>0.45538730884115042</v>
      </c>
      <c r="AW4">
        <v>0.46290553789172356</v>
      </c>
      <c r="AX4">
        <v>0.48189753807378877</v>
      </c>
      <c r="AY4">
        <v>0.50644190126115651</v>
      </c>
      <c r="AZ4">
        <v>0.53951764665622381</v>
      </c>
      <c r="BA4">
        <v>0.60171757862004482</v>
      </c>
      <c r="BB4">
        <v>0.63709797979516236</v>
      </c>
      <c r="BC4">
        <v>0.64364495410704126</v>
      </c>
      <c r="BD4">
        <v>0.64374724563309083</v>
      </c>
      <c r="BE4">
        <v>0.64894858715858139</v>
      </c>
      <c r="BF4">
        <v>0.65287182316068382</v>
      </c>
      <c r="BG4">
        <v>0.65727450096546569</v>
      </c>
      <c r="BH4">
        <v>0.6639616793632519</v>
      </c>
      <c r="BI4">
        <v>0.66915801170280664</v>
      </c>
      <c r="BJ4">
        <v>0.68122025330057623</v>
      </c>
      <c r="BK4">
        <v>0.696284762610624</v>
      </c>
      <c r="BL4">
        <v>0.73578395890875736</v>
      </c>
      <c r="BM4">
        <v>0.79515707694919602</v>
      </c>
      <c r="BN4">
        <v>0.83548572449955938</v>
      </c>
      <c r="BO4">
        <v>0.86292029628066802</v>
      </c>
      <c r="BP4">
        <v>0.87548384405727386</v>
      </c>
      <c r="BQ4">
        <v>0.88206330876476446</v>
      </c>
      <c r="BR4">
        <v>0.87887704794473875</v>
      </c>
      <c r="BS4">
        <v>0.88245759071444119</v>
      </c>
      <c r="BT4">
        <v>0.90983157095370704</v>
      </c>
      <c r="BU4">
        <v>0.97294296016944171</v>
      </c>
      <c r="BV4">
        <v>1.0634984672179897</v>
      </c>
      <c r="BW4">
        <v>1.2084851311226159</v>
      </c>
      <c r="BX4">
        <v>1.4288290121521969</v>
      </c>
    </row>
    <row r="5" spans="1:76">
      <c r="A5" t="s">
        <v>185</v>
      </c>
      <c r="B5">
        <v>2008</v>
      </c>
      <c r="C5">
        <v>12</v>
      </c>
      <c r="D5">
        <v>10</v>
      </c>
      <c r="E5">
        <v>11.295277777777777</v>
      </c>
      <c r="F5">
        <v>3</v>
      </c>
      <c r="G5">
        <v>0.60550400000000004</v>
      </c>
      <c r="H5">
        <v>7.2536609642764853</v>
      </c>
      <c r="I5">
        <v>3.6</v>
      </c>
      <c r="J5">
        <v>0.86029053670234312</v>
      </c>
      <c r="K5">
        <v>1.2590071130428351</v>
      </c>
      <c r="L5">
        <v>1.0831119049916882</v>
      </c>
      <c r="M5">
        <v>2.7338812291788077</v>
      </c>
      <c r="N5">
        <v>2.5687286678280032</v>
      </c>
      <c r="O5">
        <v>2.4153958397116457</v>
      </c>
      <c r="P5">
        <v>2.2821648509429786</v>
      </c>
      <c r="Q5">
        <v>2.1552231503470471</v>
      </c>
      <c r="R5">
        <v>2.0372044362707751</v>
      </c>
      <c r="S5">
        <v>1.9367255268990395</v>
      </c>
      <c r="T5">
        <v>1.8424109199947427</v>
      </c>
      <c r="U5">
        <v>1.7514752272675727</v>
      </c>
      <c r="V5">
        <v>1.6538489527540357</v>
      </c>
      <c r="W5">
        <v>1.5586914562407563</v>
      </c>
      <c r="X5">
        <v>1.4764329484490257</v>
      </c>
      <c r="Y5">
        <v>1.4041649493707162</v>
      </c>
      <c r="Z5">
        <v>1.3376474360604187</v>
      </c>
      <c r="AA5">
        <v>1.272009122570098</v>
      </c>
      <c r="AB5">
        <v>1.2080917858911691</v>
      </c>
      <c r="AC5">
        <v>1.1491208855542225</v>
      </c>
      <c r="AD5">
        <v>1.0970065302950855</v>
      </c>
      <c r="AE5">
        <v>1.0485413507770289</v>
      </c>
      <c r="AF5">
        <v>1.0038255181515345</v>
      </c>
      <c r="AG5">
        <v>0.96412257550752467</v>
      </c>
      <c r="AH5">
        <v>0.9268253936282107</v>
      </c>
      <c r="AI5">
        <v>0.89320362676064613</v>
      </c>
      <c r="AJ5">
        <v>0.86074677093754004</v>
      </c>
      <c r="AK5">
        <v>0.82578519935619532</v>
      </c>
      <c r="AL5">
        <v>0.79332828739994754</v>
      </c>
      <c r="AM5">
        <v>0.76502715103441321</v>
      </c>
      <c r="AN5">
        <v>0.73846758327551987</v>
      </c>
      <c r="AO5">
        <v>0.71464308480848482</v>
      </c>
      <c r="AP5">
        <v>0.69336004466778589</v>
      </c>
      <c r="AQ5">
        <v>0.67272808745293933</v>
      </c>
      <c r="AR5">
        <v>0.65491291538331464</v>
      </c>
      <c r="AS5">
        <v>0.63073029464089236</v>
      </c>
      <c r="AT5">
        <v>0.61433379777898467</v>
      </c>
      <c r="AU5">
        <v>0.6017782216448706</v>
      </c>
      <c r="AV5">
        <v>0.59546837401576402</v>
      </c>
      <c r="AW5">
        <v>0.59906133202328049</v>
      </c>
      <c r="AX5">
        <v>0.61418021373857656</v>
      </c>
      <c r="AY5">
        <v>0.6345478412869765</v>
      </c>
      <c r="AZ5">
        <v>0.66323931273531822</v>
      </c>
      <c r="BA5">
        <v>0.72070585659001618</v>
      </c>
      <c r="BB5">
        <v>0.75316061985053784</v>
      </c>
      <c r="BC5">
        <v>0.75873532795636622</v>
      </c>
      <c r="BD5">
        <v>0.75807458171846187</v>
      </c>
      <c r="BE5">
        <v>0.7621913225230651</v>
      </c>
      <c r="BF5">
        <v>0.76407258144544232</v>
      </c>
      <c r="BG5">
        <v>0.76645795606845457</v>
      </c>
      <c r="BH5">
        <v>0.77139217439605268</v>
      </c>
      <c r="BI5">
        <v>0.7739149917624697</v>
      </c>
      <c r="BJ5">
        <v>0.78380646992080072</v>
      </c>
      <c r="BK5">
        <v>0.79788661273480621</v>
      </c>
      <c r="BL5">
        <v>0.83896463812660971</v>
      </c>
      <c r="BM5">
        <v>0.90581747868996521</v>
      </c>
      <c r="BN5">
        <v>0.95735930924225143</v>
      </c>
      <c r="BO5">
        <v>0.9951064433179081</v>
      </c>
      <c r="BP5">
        <v>1.0098201698551859</v>
      </c>
      <c r="BQ5">
        <v>1.0087991036231752</v>
      </c>
      <c r="BR5">
        <v>0.98897230325193441</v>
      </c>
      <c r="BS5">
        <v>0.97309700594387294</v>
      </c>
      <c r="BT5">
        <v>0.98544007941283263</v>
      </c>
      <c r="BU5">
        <v>1.0382992348928224</v>
      </c>
      <c r="BV5">
        <v>1.1237299472773039</v>
      </c>
      <c r="BW5">
        <v>1.2636238848887558</v>
      </c>
      <c r="BX5">
        <v>1.480854523014062</v>
      </c>
    </row>
    <row r="6" spans="1:76">
      <c r="A6" t="s">
        <v>186</v>
      </c>
      <c r="B6">
        <v>2008</v>
      </c>
      <c r="C6">
        <v>12</v>
      </c>
      <c r="D6">
        <v>10</v>
      </c>
      <c r="E6">
        <v>11.408333333333333</v>
      </c>
      <c r="F6">
        <v>3</v>
      </c>
      <c r="G6">
        <v>0.57737700000000003</v>
      </c>
      <c r="H6">
        <v>7.3434753152580088</v>
      </c>
      <c r="I6">
        <v>3.9</v>
      </c>
      <c r="J6">
        <v>0.88874956757244394</v>
      </c>
      <c r="K6">
        <v>1.1581511738395196</v>
      </c>
      <c r="L6">
        <v>1.0293063549333914</v>
      </c>
      <c r="M6">
        <v>2.7284963939643982</v>
      </c>
      <c r="N6">
        <v>2.5687345192895323</v>
      </c>
      <c r="O6">
        <v>2.4201776797648455</v>
      </c>
      <c r="P6">
        <v>2.2912452907752141</v>
      </c>
      <c r="Q6">
        <v>2.1680745967704995</v>
      </c>
      <c r="R6">
        <v>2.0533770578278308</v>
      </c>
      <c r="S6">
        <v>1.9558912417712089</v>
      </c>
      <c r="T6">
        <v>1.8641930600926018</v>
      </c>
      <c r="U6">
        <v>1.7755100051072661</v>
      </c>
      <c r="V6">
        <v>1.6797337234638872</v>
      </c>
      <c r="W6">
        <v>1.5861271428767774</v>
      </c>
      <c r="X6">
        <v>1.5052545041355851</v>
      </c>
      <c r="Y6">
        <v>1.434199785519394</v>
      </c>
      <c r="Z6">
        <v>1.3687097592666786</v>
      </c>
      <c r="AA6">
        <v>1.3038962681695265</v>
      </c>
      <c r="AB6">
        <v>1.2406256192337801</v>
      </c>
      <c r="AC6">
        <v>1.1821664050213827</v>
      </c>
      <c r="AD6">
        <v>1.1304709222183784</v>
      </c>
      <c r="AE6">
        <v>1.082311184137948</v>
      </c>
      <c r="AF6">
        <v>1.0377966401638368</v>
      </c>
      <c r="AG6">
        <v>0.99821579457229381</v>
      </c>
      <c r="AH6">
        <v>0.96093772641045661</v>
      </c>
      <c r="AI6">
        <v>0.92725622461574075</v>
      </c>
      <c r="AJ6">
        <v>0.89466425302989205</v>
      </c>
      <c r="AK6">
        <v>0.85953603671451884</v>
      </c>
      <c r="AL6">
        <v>0.82687206746527875</v>
      </c>
      <c r="AM6">
        <v>0.79832929099633132</v>
      </c>
      <c r="AN6">
        <v>0.77148639557337007</v>
      </c>
      <c r="AO6">
        <v>0.74734896908460424</v>
      </c>
      <c r="AP6">
        <v>0.72571514486536581</v>
      </c>
      <c r="AQ6">
        <v>0.70467768162964162</v>
      </c>
      <c r="AR6">
        <v>0.6864730949206852</v>
      </c>
      <c r="AS6">
        <v>0.66181195071449872</v>
      </c>
      <c r="AT6">
        <v>0.64498476873636634</v>
      </c>
      <c r="AU6">
        <v>0.63197622022017663</v>
      </c>
      <c r="AV6">
        <v>0.62522865965465479</v>
      </c>
      <c r="AW6">
        <v>0.62841482775568425</v>
      </c>
      <c r="AX6">
        <v>0.64313556332049704</v>
      </c>
      <c r="AY6">
        <v>0.66308466278388023</v>
      </c>
      <c r="AZ6">
        <v>0.69133940522698589</v>
      </c>
      <c r="BA6">
        <v>0.74835119834836827</v>
      </c>
      <c r="BB6">
        <v>0.78034829850762277</v>
      </c>
      <c r="BC6">
        <v>0.78549341235659664</v>
      </c>
      <c r="BD6">
        <v>0.78440035925846152</v>
      </c>
      <c r="BE6">
        <v>0.78807168088117341</v>
      </c>
      <c r="BF6">
        <v>0.78948034701532588</v>
      </c>
      <c r="BG6">
        <v>0.79138920894011777</v>
      </c>
      <c r="BH6">
        <v>0.79584885675562944</v>
      </c>
      <c r="BI6">
        <v>0.79787291436965024</v>
      </c>
      <c r="BJ6">
        <v>0.80727301997297451</v>
      </c>
      <c r="BK6">
        <v>0.82088492557062276</v>
      </c>
      <c r="BL6">
        <v>0.86154082806279209</v>
      </c>
      <c r="BM6">
        <v>0.92808799859467461</v>
      </c>
      <c r="BN6">
        <v>0.97941086729023485</v>
      </c>
      <c r="BO6">
        <v>1.0169231532243466</v>
      </c>
      <c r="BP6">
        <v>1.0312270691062513</v>
      </c>
      <c r="BQ6">
        <v>1.0295815187523301</v>
      </c>
      <c r="BR6">
        <v>1.0089339187999158</v>
      </c>
      <c r="BS6">
        <v>0.99217061205315893</v>
      </c>
      <c r="BT6">
        <v>1.0037102562133242</v>
      </c>
      <c r="BU6">
        <v>1.0558507040520646</v>
      </c>
      <c r="BV6">
        <v>1.1406589055964562</v>
      </c>
      <c r="BW6">
        <v>1.2798954811487719</v>
      </c>
      <c r="BX6">
        <v>1.4964639425211266</v>
      </c>
    </row>
    <row r="7" spans="1:76">
      <c r="A7" t="s">
        <v>187</v>
      </c>
      <c r="B7">
        <v>2008</v>
      </c>
      <c r="C7">
        <v>12</v>
      </c>
      <c r="D7">
        <v>10</v>
      </c>
      <c r="E7">
        <v>11.577222222222222</v>
      </c>
      <c r="F7">
        <v>3</v>
      </c>
      <c r="G7">
        <v>0.38501299999999999</v>
      </c>
      <c r="H7">
        <v>2.7509373983725491</v>
      </c>
      <c r="I7">
        <v>2.1</v>
      </c>
      <c r="J7">
        <v>0.60548183152788637</v>
      </c>
      <c r="K7">
        <v>2.1735015024951396</v>
      </c>
      <c r="L7">
        <v>1.31601567055937</v>
      </c>
      <c r="M7">
        <v>1.6722334335963462</v>
      </c>
      <c r="N7">
        <v>1.5663956425772381</v>
      </c>
      <c r="O7">
        <v>1.4688431920987455</v>
      </c>
      <c r="P7">
        <v>1.3833497394199994</v>
      </c>
      <c r="Q7">
        <v>1.3027986663368316</v>
      </c>
      <c r="R7">
        <v>1.2282800151228044</v>
      </c>
      <c r="S7">
        <v>1.1638372784458058</v>
      </c>
      <c r="T7">
        <v>1.1037610655323453</v>
      </c>
      <c r="U7">
        <v>1.0468588729697674</v>
      </c>
      <c r="V7">
        <v>0.9876763219954503</v>
      </c>
      <c r="W7">
        <v>0.93091242639376226</v>
      </c>
      <c r="X7">
        <v>0.88060556267815437</v>
      </c>
      <c r="Y7">
        <v>0.83588316601587587</v>
      </c>
      <c r="Z7">
        <v>0.79476532601642802</v>
      </c>
      <c r="AA7">
        <v>0.75472014492971373</v>
      </c>
      <c r="AB7">
        <v>0.716248254582452</v>
      </c>
      <c r="AC7">
        <v>0.68101195302176898</v>
      </c>
      <c r="AD7">
        <v>0.64939129081590141</v>
      </c>
      <c r="AE7">
        <v>0.62028201732723509</v>
      </c>
      <c r="AF7">
        <v>0.59402435395053321</v>
      </c>
      <c r="AG7">
        <v>0.57115668525792818</v>
      </c>
      <c r="AH7">
        <v>0.55111798640148157</v>
      </c>
      <c r="AI7">
        <v>0.53437501724996039</v>
      </c>
      <c r="AJ7">
        <v>0.51868423095400351</v>
      </c>
      <c r="AK7">
        <v>0.49808969205996523</v>
      </c>
      <c r="AL7">
        <v>0.47866579359053463</v>
      </c>
      <c r="AM7">
        <v>0.46221881984827173</v>
      </c>
      <c r="AN7">
        <v>0.44698981267075921</v>
      </c>
      <c r="AO7">
        <v>0.43365815427689436</v>
      </c>
      <c r="AP7">
        <v>0.42282824720517243</v>
      </c>
      <c r="AQ7">
        <v>0.4136905512605813</v>
      </c>
      <c r="AR7">
        <v>0.40466742448324888</v>
      </c>
      <c r="AS7">
        <v>0.3919094240901228</v>
      </c>
      <c r="AT7">
        <v>0.38337582547935506</v>
      </c>
      <c r="AU7">
        <v>0.37907018919764945</v>
      </c>
      <c r="AV7">
        <v>0.37978384047176605</v>
      </c>
      <c r="AW7">
        <v>0.38891334797338023</v>
      </c>
      <c r="AX7">
        <v>0.40936004138288107</v>
      </c>
      <c r="AY7">
        <v>0.43541784016266682</v>
      </c>
      <c r="AZ7">
        <v>0.4700258925819546</v>
      </c>
      <c r="BA7">
        <v>0.53369431517274879</v>
      </c>
      <c r="BB7">
        <v>0.57026118357808475</v>
      </c>
      <c r="BC7">
        <v>0.57759591196349525</v>
      </c>
      <c r="BD7">
        <v>0.57846285673814812</v>
      </c>
      <c r="BE7">
        <v>0.58449691256751846</v>
      </c>
      <c r="BF7">
        <v>0.58955466236887411</v>
      </c>
      <c r="BG7">
        <v>0.59508162013382593</v>
      </c>
      <c r="BH7">
        <v>0.60279923104228983</v>
      </c>
      <c r="BI7">
        <v>0.60931653539717046</v>
      </c>
      <c r="BJ7">
        <v>0.62250936045116234</v>
      </c>
      <c r="BK7">
        <v>0.63832698775995211</v>
      </c>
      <c r="BL7">
        <v>0.67767602884225597</v>
      </c>
      <c r="BM7">
        <v>0.73501110388258584</v>
      </c>
      <c r="BN7">
        <v>0.77225407810408542</v>
      </c>
      <c r="BO7">
        <v>0.79693756969907081</v>
      </c>
      <c r="BP7">
        <v>0.80931489984808225</v>
      </c>
      <c r="BQ7">
        <v>0.81872079559136512</v>
      </c>
      <c r="BR7">
        <v>0.82117110693940232</v>
      </c>
      <c r="BS7">
        <v>0.83121959322722916</v>
      </c>
      <c r="BT7">
        <v>0.86360362337149998</v>
      </c>
      <c r="BU7">
        <v>0.9301123981147088</v>
      </c>
      <c r="BV7">
        <v>1.0223831163039334</v>
      </c>
      <c r="BW7">
        <v>1.1688531887431319</v>
      </c>
      <c r="BX7">
        <v>1.3897663472418431</v>
      </c>
    </row>
    <row r="8" spans="1:76">
      <c r="A8" t="s">
        <v>188</v>
      </c>
      <c r="B8">
        <v>2008</v>
      </c>
      <c r="C8">
        <v>12</v>
      </c>
      <c r="D8">
        <v>10</v>
      </c>
      <c r="E8">
        <v>11.866666666666667</v>
      </c>
      <c r="F8">
        <v>3</v>
      </c>
      <c r="G8">
        <v>0.43693799999999999</v>
      </c>
      <c r="H8">
        <v>4.592969133761442</v>
      </c>
      <c r="I8">
        <v>3.4</v>
      </c>
      <c r="J8">
        <v>0.78446590071103062</v>
      </c>
      <c r="K8">
        <v>1.3259398631631873</v>
      </c>
      <c r="L8">
        <v>1.0401546090449705</v>
      </c>
      <c r="M8">
        <v>2.1666010987720874</v>
      </c>
      <c r="N8">
        <v>2.0421772272269036</v>
      </c>
      <c r="O8">
        <v>1.9266924681455511</v>
      </c>
      <c r="P8">
        <v>1.8260070043145051</v>
      </c>
      <c r="Q8">
        <v>1.7301207317456426</v>
      </c>
      <c r="R8">
        <v>1.6408814197838826</v>
      </c>
      <c r="S8">
        <v>1.564424419025245</v>
      </c>
      <c r="T8">
        <v>1.4925922296178282</v>
      </c>
      <c r="U8">
        <v>1.4235419058091254</v>
      </c>
      <c r="V8">
        <v>1.349828240106917</v>
      </c>
      <c r="W8">
        <v>1.2781695095987549</v>
      </c>
      <c r="X8">
        <v>1.2154746593529842</v>
      </c>
      <c r="Y8">
        <v>1.1600038961768366</v>
      </c>
      <c r="Z8">
        <v>1.1088083975786236</v>
      </c>
      <c r="AA8">
        <v>1.0583498658726636</v>
      </c>
      <c r="AB8">
        <v>1.0093026876638267</v>
      </c>
      <c r="AC8">
        <v>0.96403799253806677</v>
      </c>
      <c r="AD8">
        <v>0.92363428220272692</v>
      </c>
      <c r="AE8">
        <v>0.88606819847648055</v>
      </c>
      <c r="AF8">
        <v>0.85158470786262019</v>
      </c>
      <c r="AG8">
        <v>0.82105781227011299</v>
      </c>
      <c r="AH8">
        <v>0.79302026223830957</v>
      </c>
      <c r="AI8">
        <v>0.76831276851390817</v>
      </c>
      <c r="AJ8">
        <v>0.74459176594927079</v>
      </c>
      <c r="AK8">
        <v>0.71694965234651797</v>
      </c>
      <c r="AL8">
        <v>0.6909782801330373</v>
      </c>
      <c r="AM8">
        <v>0.66842949933478057</v>
      </c>
      <c r="AN8">
        <v>0.64725874683713158</v>
      </c>
      <c r="AO8">
        <v>0.62830266359576714</v>
      </c>
      <c r="AP8">
        <v>0.61181826541578621</v>
      </c>
      <c r="AQ8">
        <v>0.59651195008676705</v>
      </c>
      <c r="AR8">
        <v>0.58251623556772092</v>
      </c>
      <c r="AS8">
        <v>0.56350662943415908</v>
      </c>
      <c r="AT8">
        <v>0.55035871512931667</v>
      </c>
      <c r="AU8">
        <v>0.54129042983657438</v>
      </c>
      <c r="AV8">
        <v>0.53785332330179392</v>
      </c>
      <c r="AW8">
        <v>0.54360771697359866</v>
      </c>
      <c r="AX8">
        <v>0.56088669784010747</v>
      </c>
      <c r="AY8">
        <v>0.58362566991386577</v>
      </c>
      <c r="AZ8">
        <v>0.61482190705115025</v>
      </c>
      <c r="BA8">
        <v>0.67500693395136446</v>
      </c>
      <c r="BB8">
        <v>0.70881065632650486</v>
      </c>
      <c r="BC8">
        <v>0.71432810511393297</v>
      </c>
      <c r="BD8">
        <v>0.71346205756071068</v>
      </c>
      <c r="BE8">
        <v>0.71759876968743497</v>
      </c>
      <c r="BF8">
        <v>0.72019473770617637</v>
      </c>
      <c r="BG8">
        <v>0.72327504352556016</v>
      </c>
      <c r="BH8">
        <v>0.72870790019398224</v>
      </c>
      <c r="BI8">
        <v>0.73239948376129704</v>
      </c>
      <c r="BJ8">
        <v>0.74308257141375356</v>
      </c>
      <c r="BK8">
        <v>0.75708521711519694</v>
      </c>
      <c r="BL8">
        <v>0.79616792367263489</v>
      </c>
      <c r="BM8">
        <v>0.85667799055166616</v>
      </c>
      <c r="BN8">
        <v>0.89920217052609208</v>
      </c>
      <c r="BO8">
        <v>0.92861745668537621</v>
      </c>
      <c r="BP8">
        <v>0.94097124756579853</v>
      </c>
      <c r="BQ8">
        <v>0.9446940682478675</v>
      </c>
      <c r="BR8">
        <v>0.93620994404002167</v>
      </c>
      <c r="BS8">
        <v>0.93370676575851297</v>
      </c>
      <c r="BT8">
        <v>0.9561419336949748</v>
      </c>
      <c r="BU8">
        <v>1.0155198949896815</v>
      </c>
      <c r="BV8">
        <v>1.103662871997849</v>
      </c>
      <c r="BW8">
        <v>1.2460879513559247</v>
      </c>
      <c r="BX8">
        <v>1.4641927301712589</v>
      </c>
    </row>
    <row r="9" spans="1:76">
      <c r="A9" t="s">
        <v>189</v>
      </c>
      <c r="B9">
        <v>2008</v>
      </c>
      <c r="C9">
        <v>12</v>
      </c>
      <c r="D9">
        <v>10</v>
      </c>
      <c r="E9">
        <v>12.155277777777776</v>
      </c>
      <c r="F9">
        <v>3</v>
      </c>
      <c r="G9">
        <v>0.38801200000000002</v>
      </c>
      <c r="H9">
        <v>6.8425078656908846</v>
      </c>
      <c r="I9">
        <v>3.5</v>
      </c>
      <c r="J9">
        <v>0.81089210101616971</v>
      </c>
      <c r="K9">
        <v>1.2891768658453153</v>
      </c>
      <c r="L9">
        <v>1.0453833373267485</v>
      </c>
      <c r="M9">
        <v>2.111926376566541</v>
      </c>
      <c r="N9">
        <v>2.0009698479105169</v>
      </c>
      <c r="O9">
        <v>1.8970188953572216</v>
      </c>
      <c r="P9">
        <v>1.8084036860969546</v>
      </c>
      <c r="Q9">
        <v>1.7222323208866634</v>
      </c>
      <c r="R9">
        <v>1.6413548900161421</v>
      </c>
      <c r="S9">
        <v>1.5743273862290901</v>
      </c>
      <c r="T9">
        <v>1.5105166445305018</v>
      </c>
      <c r="U9">
        <v>1.4475224207654869</v>
      </c>
      <c r="V9">
        <v>1.3758796449473718</v>
      </c>
      <c r="W9">
        <v>1.3045937942142154</v>
      </c>
      <c r="X9">
        <v>1.2437691660998424</v>
      </c>
      <c r="Y9">
        <v>1.1908373492289859</v>
      </c>
      <c r="Z9">
        <v>1.1418977478379457</v>
      </c>
      <c r="AA9">
        <v>1.0924035613024075</v>
      </c>
      <c r="AB9">
        <v>1.0432929770870083</v>
      </c>
      <c r="AC9">
        <v>0.99778721357084366</v>
      </c>
      <c r="AD9">
        <v>0.9577926269937429</v>
      </c>
      <c r="AE9">
        <v>0.92036284394352674</v>
      </c>
      <c r="AF9">
        <v>0.88571053863877303</v>
      </c>
      <c r="AG9">
        <v>0.85514137668879264</v>
      </c>
      <c r="AH9">
        <v>0.82627508061660238</v>
      </c>
      <c r="AI9">
        <v>0.80040304929227046</v>
      </c>
      <c r="AJ9">
        <v>0.77507524197271493</v>
      </c>
      <c r="AK9">
        <v>0.74644788188434241</v>
      </c>
      <c r="AL9">
        <v>0.7197300705841011</v>
      </c>
      <c r="AM9">
        <v>0.69666930929115622</v>
      </c>
      <c r="AN9">
        <v>0.67491338671665368</v>
      </c>
      <c r="AO9">
        <v>0.65549470728014891</v>
      </c>
      <c r="AP9">
        <v>0.6383220888604304</v>
      </c>
      <c r="AQ9">
        <v>0.62158681108687053</v>
      </c>
      <c r="AR9">
        <v>0.60722333934126971</v>
      </c>
      <c r="AS9">
        <v>0.58632693142381553</v>
      </c>
      <c r="AT9">
        <v>0.57285114599481046</v>
      </c>
      <c r="AU9">
        <v>0.56310818954729136</v>
      </c>
      <c r="AV9">
        <v>0.55942188728417075</v>
      </c>
      <c r="AW9">
        <v>0.56546950972674237</v>
      </c>
      <c r="AX9">
        <v>0.58294852966956323</v>
      </c>
      <c r="AY9">
        <v>0.60551373783188023</v>
      </c>
      <c r="AZ9">
        <v>0.63624767055552289</v>
      </c>
      <c r="BA9">
        <v>0.69566787205068026</v>
      </c>
      <c r="BB9">
        <v>0.72960517524851798</v>
      </c>
      <c r="BC9">
        <v>0.73628804908838741</v>
      </c>
      <c r="BD9">
        <v>0.73661173218396547</v>
      </c>
      <c r="BE9">
        <v>0.74166796568006732</v>
      </c>
      <c r="BF9">
        <v>0.74451156758303227</v>
      </c>
      <c r="BG9">
        <v>0.74778794764077328</v>
      </c>
      <c r="BH9">
        <v>0.75352357473827369</v>
      </c>
      <c r="BI9">
        <v>0.75688740155998058</v>
      </c>
      <c r="BJ9">
        <v>0.7675166445047108</v>
      </c>
      <c r="BK9">
        <v>0.78216143288360396</v>
      </c>
      <c r="BL9">
        <v>0.82348791507910857</v>
      </c>
      <c r="BM9">
        <v>0.88991664144853411</v>
      </c>
      <c r="BN9">
        <v>0.9406018377337716</v>
      </c>
      <c r="BO9">
        <v>0.97755800337062138</v>
      </c>
      <c r="BP9">
        <v>0.992322699324512</v>
      </c>
      <c r="BQ9">
        <v>0.99236451868473396</v>
      </c>
      <c r="BR9">
        <v>0.97454058236458618</v>
      </c>
      <c r="BS9">
        <v>0.96094505308949585</v>
      </c>
      <c r="BT9">
        <v>0.97507326534550076</v>
      </c>
      <c r="BU9">
        <v>1.029183531451372</v>
      </c>
      <c r="BV9">
        <v>1.1152972812791451</v>
      </c>
      <c r="BW9">
        <v>1.2558422491618004</v>
      </c>
      <c r="BX9">
        <v>1.473480877319046</v>
      </c>
    </row>
    <row r="10" spans="1:76">
      <c r="A10" t="s">
        <v>190</v>
      </c>
      <c r="B10">
        <v>2008</v>
      </c>
      <c r="C10">
        <v>12</v>
      </c>
      <c r="D10">
        <v>10</v>
      </c>
      <c r="E10">
        <v>13.507777777777779</v>
      </c>
      <c r="F10">
        <v>3</v>
      </c>
      <c r="G10">
        <v>0.45501200000000003</v>
      </c>
      <c r="H10">
        <v>5.1917122168896359</v>
      </c>
      <c r="I10">
        <v>3.6</v>
      </c>
      <c r="J10">
        <v>0.82702052597348785</v>
      </c>
      <c r="K10">
        <v>1.2490174959783751</v>
      </c>
      <c r="L10">
        <v>1.0329631064741245</v>
      </c>
      <c r="M10">
        <v>2.3215487036861386</v>
      </c>
      <c r="N10">
        <v>2.1889963463920807</v>
      </c>
      <c r="O10">
        <v>2.0658206210780348</v>
      </c>
      <c r="P10">
        <v>1.9586524563635739</v>
      </c>
      <c r="Q10">
        <v>1.856370565700312</v>
      </c>
      <c r="R10">
        <v>1.7610923230464512</v>
      </c>
      <c r="S10">
        <v>1.6797385858317613</v>
      </c>
      <c r="T10">
        <v>1.6032061082195352</v>
      </c>
      <c r="U10">
        <v>1.529406853973597</v>
      </c>
      <c r="V10">
        <v>1.4501007714132839</v>
      </c>
      <c r="W10">
        <v>1.372787572187705</v>
      </c>
      <c r="X10">
        <v>1.3054169680846182</v>
      </c>
      <c r="Y10">
        <v>1.2459424562723316</v>
      </c>
      <c r="Z10">
        <v>1.1910482456018598</v>
      </c>
      <c r="AA10">
        <v>1.1368034496568864</v>
      </c>
      <c r="AB10">
        <v>1.0839503117352263</v>
      </c>
      <c r="AC10">
        <v>1.0351384380007675</v>
      </c>
      <c r="AD10">
        <v>0.99168530041141412</v>
      </c>
      <c r="AE10">
        <v>0.95124126630440453</v>
      </c>
      <c r="AF10">
        <v>0.91402770896490515</v>
      </c>
      <c r="AG10">
        <v>0.88104450800748979</v>
      </c>
      <c r="AH10">
        <v>0.85052022250241344</v>
      </c>
      <c r="AI10">
        <v>0.82342385516701055</v>
      </c>
      <c r="AJ10">
        <v>0.79732026590315086</v>
      </c>
      <c r="AK10">
        <v>0.76750194270682559</v>
      </c>
      <c r="AL10">
        <v>0.73955181021258287</v>
      </c>
      <c r="AM10">
        <v>0.71524237759741105</v>
      </c>
      <c r="AN10">
        <v>0.69239246408732003</v>
      </c>
      <c r="AO10">
        <v>0.67190341881241045</v>
      </c>
      <c r="AP10">
        <v>0.65393242887300684</v>
      </c>
      <c r="AQ10">
        <v>0.63700855136901602</v>
      </c>
      <c r="AR10">
        <v>0.62177345099017689</v>
      </c>
      <c r="AS10">
        <v>0.60104850424177403</v>
      </c>
      <c r="AT10">
        <v>0.58678151462811701</v>
      </c>
      <c r="AU10">
        <v>0.57661396154844491</v>
      </c>
      <c r="AV10">
        <v>0.57234854185371686</v>
      </c>
      <c r="AW10">
        <v>0.57765595009653625</v>
      </c>
      <c r="AX10">
        <v>0.59475122094775834</v>
      </c>
      <c r="AY10">
        <v>0.61737609251538494</v>
      </c>
      <c r="AZ10">
        <v>0.64862071855203141</v>
      </c>
      <c r="BA10">
        <v>0.70948902395510127</v>
      </c>
      <c r="BB10">
        <v>0.74367599091419101</v>
      </c>
      <c r="BC10">
        <v>0.74923833826367126</v>
      </c>
      <c r="BD10">
        <v>0.74829578210799352</v>
      </c>
      <c r="BE10">
        <v>0.75241629967135804</v>
      </c>
      <c r="BF10">
        <v>0.75478646301966923</v>
      </c>
      <c r="BG10">
        <v>0.75765427842289423</v>
      </c>
      <c r="BH10">
        <v>0.76297604637565009</v>
      </c>
      <c r="BI10">
        <v>0.76634971005125152</v>
      </c>
      <c r="BJ10">
        <v>0.77696946139219247</v>
      </c>
      <c r="BK10">
        <v>0.7911980248570849</v>
      </c>
      <c r="BL10">
        <v>0.8315761283337415</v>
      </c>
      <c r="BM10">
        <v>0.89494855180962984</v>
      </c>
      <c r="BN10">
        <v>0.94054885913891884</v>
      </c>
      <c r="BO10">
        <v>0.97255963928956124</v>
      </c>
      <c r="BP10">
        <v>0.98565261268397919</v>
      </c>
      <c r="BQ10">
        <v>0.98818235898226847</v>
      </c>
      <c r="BR10">
        <v>0.97660794430404152</v>
      </c>
      <c r="BS10">
        <v>0.97066448002274919</v>
      </c>
      <c r="BT10">
        <v>0.99105222164571583</v>
      </c>
      <c r="BU10">
        <v>1.0501334028166607</v>
      </c>
      <c r="BV10">
        <v>1.1395912482253767</v>
      </c>
      <c r="BW10">
        <v>1.2846715620661817</v>
      </c>
      <c r="BX10">
        <v>1.5076414010222017</v>
      </c>
    </row>
    <row r="11" spans="1:76">
      <c r="A11" t="s">
        <v>191</v>
      </c>
      <c r="B11">
        <v>2008</v>
      </c>
      <c r="C11">
        <v>12</v>
      </c>
      <c r="D11">
        <v>10</v>
      </c>
      <c r="E11">
        <v>13.75</v>
      </c>
      <c r="F11">
        <v>3</v>
      </c>
      <c r="G11">
        <v>0.37905699999999998</v>
      </c>
      <c r="H11">
        <v>4.8291794670055488</v>
      </c>
      <c r="I11">
        <v>3.4</v>
      </c>
      <c r="J11">
        <v>0.79001396992072193</v>
      </c>
      <c r="K11">
        <v>1.3213610451978586</v>
      </c>
      <c r="L11">
        <v>1.0438936850153546</v>
      </c>
      <c r="M11">
        <v>2.0651470468732036</v>
      </c>
      <c r="N11">
        <v>1.9520143492968911</v>
      </c>
      <c r="O11">
        <v>1.8466467645880631</v>
      </c>
      <c r="P11">
        <v>1.755475170236438</v>
      </c>
      <c r="Q11">
        <v>1.6679676378863</v>
      </c>
      <c r="R11">
        <v>1.5862321359459124</v>
      </c>
      <c r="S11">
        <v>1.5169562548374587</v>
      </c>
      <c r="T11">
        <v>1.4515255632138144</v>
      </c>
      <c r="U11">
        <v>1.3880458114627765</v>
      </c>
      <c r="V11">
        <v>1.3186665443427665</v>
      </c>
      <c r="W11">
        <v>1.2506361479329913</v>
      </c>
      <c r="X11">
        <v>1.1914942698225053</v>
      </c>
      <c r="Y11">
        <v>1.1394010936453207</v>
      </c>
      <c r="Z11">
        <v>1.0912507987511493</v>
      </c>
      <c r="AA11">
        <v>1.0433165485749214</v>
      </c>
      <c r="AB11">
        <v>0.9963546499308118</v>
      </c>
      <c r="AC11">
        <v>0.9529460380667788</v>
      </c>
      <c r="AD11">
        <v>0.9143321168630334</v>
      </c>
      <c r="AE11">
        <v>0.87834713897216554</v>
      </c>
      <c r="AF11">
        <v>0.84526395917928343</v>
      </c>
      <c r="AG11">
        <v>0.81606551764850133</v>
      </c>
      <c r="AH11">
        <v>0.78915646462060385</v>
      </c>
      <c r="AI11">
        <v>0.76547509002997383</v>
      </c>
      <c r="AJ11">
        <v>0.74259796567138947</v>
      </c>
      <c r="AK11">
        <v>0.71558759938221672</v>
      </c>
      <c r="AL11">
        <v>0.69020173303954369</v>
      </c>
      <c r="AM11">
        <v>0.66826738675827357</v>
      </c>
      <c r="AN11">
        <v>0.64764025454741392</v>
      </c>
      <c r="AO11">
        <v>0.62922309506094687</v>
      </c>
      <c r="AP11">
        <v>0.61325364908593816</v>
      </c>
      <c r="AQ11">
        <v>0.59833677220947368</v>
      </c>
      <c r="AR11">
        <v>0.58482020875804241</v>
      </c>
      <c r="AS11">
        <v>0.56587969877249344</v>
      </c>
      <c r="AT11">
        <v>0.55311757088253821</v>
      </c>
      <c r="AU11">
        <v>0.54447185799785935</v>
      </c>
      <c r="AV11">
        <v>0.54163202798542509</v>
      </c>
      <c r="AW11">
        <v>0.54828053910818408</v>
      </c>
      <c r="AX11">
        <v>0.56674289019305391</v>
      </c>
      <c r="AY11">
        <v>0.59073197492783824</v>
      </c>
      <c r="AZ11">
        <v>0.62335244727018668</v>
      </c>
      <c r="BA11">
        <v>0.68576670551381258</v>
      </c>
      <c r="BB11">
        <v>0.72106303881228273</v>
      </c>
      <c r="BC11">
        <v>0.72730065878917771</v>
      </c>
      <c r="BD11">
        <v>0.72693861099376789</v>
      </c>
      <c r="BE11">
        <v>0.73167841145099555</v>
      </c>
      <c r="BF11">
        <v>0.73473373844522993</v>
      </c>
      <c r="BG11">
        <v>0.73826417846329995</v>
      </c>
      <c r="BH11">
        <v>0.74421459126065415</v>
      </c>
      <c r="BI11">
        <v>0.74828409454691336</v>
      </c>
      <c r="BJ11">
        <v>0.75957258944967043</v>
      </c>
      <c r="BK11">
        <v>0.77434963029129134</v>
      </c>
      <c r="BL11">
        <v>0.81515076668196385</v>
      </c>
      <c r="BM11">
        <v>0.87844663581581017</v>
      </c>
      <c r="BN11">
        <v>0.92345019895914915</v>
      </c>
      <c r="BO11">
        <v>0.95486592062649622</v>
      </c>
      <c r="BP11">
        <v>0.96810828009988037</v>
      </c>
      <c r="BQ11">
        <v>0.97175317186245858</v>
      </c>
      <c r="BR11">
        <v>0.96216193478528966</v>
      </c>
      <c r="BS11">
        <v>0.95852961146782711</v>
      </c>
      <c r="BT11">
        <v>0.98091324151847292</v>
      </c>
      <c r="BU11">
        <v>1.0417150485790081</v>
      </c>
      <c r="BV11">
        <v>1.1325305223657613</v>
      </c>
      <c r="BW11">
        <v>1.2793067670963039</v>
      </c>
      <c r="BX11">
        <v>1.5042422718912272</v>
      </c>
    </row>
    <row r="12" spans="1:76">
      <c r="A12" t="s">
        <v>192</v>
      </c>
      <c r="B12">
        <v>2008</v>
      </c>
      <c r="C12">
        <v>12</v>
      </c>
      <c r="D12">
        <v>10</v>
      </c>
      <c r="E12">
        <v>14.070277777777779</v>
      </c>
      <c r="F12">
        <v>3</v>
      </c>
      <c r="G12">
        <v>0.43295499999999998</v>
      </c>
      <c r="H12">
        <v>4.3271673569240612</v>
      </c>
      <c r="I12">
        <v>2.9</v>
      </c>
      <c r="J12">
        <v>0.74242480529338895</v>
      </c>
      <c r="K12">
        <v>1.5591119612511077</v>
      </c>
      <c r="L12">
        <v>1.1575233942624474</v>
      </c>
      <c r="M12">
        <v>2.0998110274119131</v>
      </c>
      <c r="N12">
        <v>1.974293584352997</v>
      </c>
      <c r="O12">
        <v>1.8579878268927361</v>
      </c>
      <c r="P12">
        <v>1.7566889845390306</v>
      </c>
      <c r="Q12">
        <v>1.6604005295629753</v>
      </c>
      <c r="R12">
        <v>1.5709312502190778</v>
      </c>
      <c r="S12">
        <v>1.4943719853899426</v>
      </c>
      <c r="T12">
        <v>1.4225787077546437</v>
      </c>
      <c r="U12">
        <v>1.3537241807632445</v>
      </c>
      <c r="V12">
        <v>1.2803327719359348</v>
      </c>
      <c r="W12">
        <v>1.2091174555777835</v>
      </c>
      <c r="X12">
        <v>1.1468610671698773</v>
      </c>
      <c r="Y12">
        <v>1.0918751563150069</v>
      </c>
      <c r="Z12">
        <v>1.0412278066273741</v>
      </c>
      <c r="AA12">
        <v>0.99137913481260598</v>
      </c>
      <c r="AB12">
        <v>0.94300172732770893</v>
      </c>
      <c r="AC12">
        <v>0.89846728907434326</v>
      </c>
      <c r="AD12">
        <v>0.85880055592602844</v>
      </c>
      <c r="AE12">
        <v>0.82202609726000198</v>
      </c>
      <c r="AF12">
        <v>0.78840835700095724</v>
      </c>
      <c r="AG12">
        <v>0.75881459956948971</v>
      </c>
      <c r="AH12">
        <v>0.73184982722323344</v>
      </c>
      <c r="AI12">
        <v>0.7083321726519054</v>
      </c>
      <c r="AJ12">
        <v>0.68583535648514138</v>
      </c>
      <c r="AK12">
        <v>0.65912018746250767</v>
      </c>
      <c r="AL12">
        <v>0.63406780894424686</v>
      </c>
      <c r="AM12">
        <v>0.61250517997549347</v>
      </c>
      <c r="AN12">
        <v>0.59234371903797201</v>
      </c>
      <c r="AO12">
        <v>0.57443342558456512</v>
      </c>
      <c r="AP12">
        <v>0.55909107733678098</v>
      </c>
      <c r="AQ12">
        <v>0.54503688331258326</v>
      </c>
      <c r="AR12">
        <v>0.53216481554990858</v>
      </c>
      <c r="AS12">
        <v>0.51427778200841057</v>
      </c>
      <c r="AT12">
        <v>0.50222609212534908</v>
      </c>
      <c r="AU12">
        <v>0.49440691955138871</v>
      </c>
      <c r="AV12">
        <v>0.49231168199524256</v>
      </c>
      <c r="AW12">
        <v>0.49959425326397422</v>
      </c>
      <c r="AX12">
        <v>0.51875616340128861</v>
      </c>
      <c r="AY12">
        <v>0.54359496078091374</v>
      </c>
      <c r="AZ12">
        <v>0.57722364747105459</v>
      </c>
      <c r="BA12">
        <v>0.64097054694224809</v>
      </c>
      <c r="BB12">
        <v>0.6772766619025129</v>
      </c>
      <c r="BC12">
        <v>0.68407136547696301</v>
      </c>
      <c r="BD12">
        <v>0.68421599304347425</v>
      </c>
      <c r="BE12">
        <v>0.68957447490129575</v>
      </c>
      <c r="BF12">
        <v>0.69340595381166459</v>
      </c>
      <c r="BG12">
        <v>0.69773291144760963</v>
      </c>
      <c r="BH12">
        <v>0.70447659532058848</v>
      </c>
      <c r="BI12">
        <v>0.70948246888299404</v>
      </c>
      <c r="BJ12">
        <v>0.72170214647074249</v>
      </c>
      <c r="BK12">
        <v>0.73727197518330445</v>
      </c>
      <c r="BL12">
        <v>0.7787085100054566</v>
      </c>
      <c r="BM12">
        <v>0.84195234420252629</v>
      </c>
      <c r="BN12">
        <v>0.88618944936016564</v>
      </c>
      <c r="BO12">
        <v>0.91686761626271573</v>
      </c>
      <c r="BP12">
        <v>0.93046966728689651</v>
      </c>
      <c r="BQ12">
        <v>0.93588838819223774</v>
      </c>
      <c r="BR12">
        <v>0.92934155820387643</v>
      </c>
      <c r="BS12">
        <v>0.92924278867962962</v>
      </c>
      <c r="BT12">
        <v>0.95471957722328682</v>
      </c>
      <c r="BU12">
        <v>1.0182331981712789</v>
      </c>
      <c r="BV12">
        <v>1.1112520912985238</v>
      </c>
      <c r="BW12">
        <v>1.2607391658174787</v>
      </c>
      <c r="BX12">
        <v>1.4887956071028061</v>
      </c>
    </row>
    <row r="13" spans="1:76">
      <c r="A13" t="s">
        <v>193</v>
      </c>
      <c r="B13">
        <v>2008</v>
      </c>
      <c r="C13">
        <v>12</v>
      </c>
      <c r="D13">
        <v>10</v>
      </c>
      <c r="E13">
        <v>14.1875</v>
      </c>
      <c r="F13">
        <v>3</v>
      </c>
      <c r="G13">
        <v>0.39648099999999997</v>
      </c>
      <c r="H13">
        <v>5.1340656080375426</v>
      </c>
      <c r="I13">
        <v>3</v>
      </c>
      <c r="J13">
        <v>0.75762301952528499</v>
      </c>
      <c r="K13">
        <v>1.5053128152711783</v>
      </c>
      <c r="L13">
        <v>1.1404596404358576</v>
      </c>
      <c r="M13">
        <v>2.047658019014444</v>
      </c>
      <c r="N13">
        <v>1.9313402922905107</v>
      </c>
      <c r="O13">
        <v>1.8230882979937313</v>
      </c>
      <c r="P13">
        <v>1.7297287204329024</v>
      </c>
      <c r="Q13">
        <v>1.6401267376361295</v>
      </c>
      <c r="R13">
        <v>1.5565237198947965</v>
      </c>
      <c r="S13">
        <v>1.4860145422756041</v>
      </c>
      <c r="T13">
        <v>1.4194778470249831</v>
      </c>
      <c r="U13">
        <v>1.3548839929677483</v>
      </c>
      <c r="V13">
        <v>1.283956020808436</v>
      </c>
      <c r="W13">
        <v>1.2143508764800564</v>
      </c>
      <c r="X13">
        <v>1.1541529767818859</v>
      </c>
      <c r="Y13">
        <v>1.101357673186915</v>
      </c>
      <c r="Z13">
        <v>1.0526621777252245</v>
      </c>
      <c r="AA13">
        <v>1.0041287885205361</v>
      </c>
      <c r="AB13">
        <v>0.9565473141313694</v>
      </c>
      <c r="AC13">
        <v>0.91264509395668858</v>
      </c>
      <c r="AD13">
        <v>0.8737891435217795</v>
      </c>
      <c r="AE13">
        <v>0.83764078989107937</v>
      </c>
      <c r="AF13">
        <v>0.80446075458767452</v>
      </c>
      <c r="AG13">
        <v>0.77529974164464543</v>
      </c>
      <c r="AH13">
        <v>0.7484021953139175</v>
      </c>
      <c r="AI13">
        <v>0.72477480556305129</v>
      </c>
      <c r="AJ13">
        <v>0.70194354377408419</v>
      </c>
      <c r="AK13">
        <v>0.67507279001522191</v>
      </c>
      <c r="AL13">
        <v>0.64992301596250057</v>
      </c>
      <c r="AM13">
        <v>0.6283333598480545</v>
      </c>
      <c r="AN13">
        <v>0.60808628138666287</v>
      </c>
      <c r="AO13">
        <v>0.59011829614883948</v>
      </c>
      <c r="AP13">
        <v>0.5746134057215293</v>
      </c>
      <c r="AQ13">
        <v>0.56008305921609658</v>
      </c>
      <c r="AR13">
        <v>0.54713858659199854</v>
      </c>
      <c r="AS13">
        <v>0.52852798642920651</v>
      </c>
      <c r="AT13">
        <v>0.51638340380963033</v>
      </c>
      <c r="AU13">
        <v>0.50833972484999257</v>
      </c>
      <c r="AV13">
        <v>0.50620320166481714</v>
      </c>
      <c r="AW13">
        <v>0.51369202137803494</v>
      </c>
      <c r="AX13">
        <v>0.53306402111868434</v>
      </c>
      <c r="AY13">
        <v>0.55797008747671684</v>
      </c>
      <c r="AZ13">
        <v>0.5915679419741473</v>
      </c>
      <c r="BA13">
        <v>0.65525655344391753</v>
      </c>
      <c r="BB13">
        <v>0.69173303042675727</v>
      </c>
      <c r="BC13">
        <v>0.69899045931511872</v>
      </c>
      <c r="BD13">
        <v>0.69957741090620251</v>
      </c>
      <c r="BE13">
        <v>0.70528361984655374</v>
      </c>
      <c r="BF13">
        <v>0.70918677986878809</v>
      </c>
      <c r="BG13">
        <v>0.71356187598921994</v>
      </c>
      <c r="BH13">
        <v>0.72039961928692631</v>
      </c>
      <c r="BI13">
        <v>0.72524075122130927</v>
      </c>
      <c r="BJ13">
        <v>0.73742402132396889</v>
      </c>
      <c r="BK13">
        <v>0.75323987593699504</v>
      </c>
      <c r="BL13">
        <v>0.79563669794961389</v>
      </c>
      <c r="BM13">
        <v>0.86135775700911421</v>
      </c>
      <c r="BN13">
        <v>0.90889217964451696</v>
      </c>
      <c r="BO13">
        <v>0.94257710069226663</v>
      </c>
      <c r="BP13">
        <v>0.9571041625464588</v>
      </c>
      <c r="BQ13">
        <v>0.96101452511080088</v>
      </c>
      <c r="BR13">
        <v>0.95068518241786326</v>
      </c>
      <c r="BS13">
        <v>0.94613136172155798</v>
      </c>
      <c r="BT13">
        <v>0.96833304468496006</v>
      </c>
      <c r="BU13">
        <v>1.0298904420350383</v>
      </c>
      <c r="BV13">
        <v>1.1223233617789474</v>
      </c>
      <c r="BW13">
        <v>1.271459597653233</v>
      </c>
      <c r="BX13">
        <v>1.4999693069358322</v>
      </c>
    </row>
    <row r="14" spans="1:76">
      <c r="A14" t="s">
        <v>184</v>
      </c>
      <c r="B14">
        <v>2008</v>
      </c>
      <c r="C14">
        <v>10</v>
      </c>
      <c r="D14">
        <v>22</v>
      </c>
      <c r="E14">
        <v>9.6666666666666661</v>
      </c>
      <c r="F14">
        <v>3</v>
      </c>
      <c r="G14">
        <v>0.50854999999999995</v>
      </c>
      <c r="H14">
        <v>10.102165324906256</v>
      </c>
      <c r="I14">
        <v>4.0999999999999996</v>
      </c>
      <c r="J14">
        <v>0.9194712981297215</v>
      </c>
      <c r="K14">
        <v>1.101759670622912</v>
      </c>
      <c r="L14">
        <v>1.0130363945746232</v>
      </c>
      <c r="M14">
        <v>2.6271590470466561</v>
      </c>
      <c r="N14">
        <v>2.4866892512760419</v>
      </c>
      <c r="O14">
        <v>2.3549064152061812</v>
      </c>
      <c r="P14">
        <v>2.2428286694134427</v>
      </c>
      <c r="Q14">
        <v>2.1336556375160365</v>
      </c>
      <c r="R14">
        <v>2.031173966088117</v>
      </c>
      <c r="S14">
        <v>1.946654454671974</v>
      </c>
      <c r="T14">
        <v>1.8661513491797055</v>
      </c>
      <c r="U14">
        <v>1.786340703918897</v>
      </c>
      <c r="V14">
        <v>1.6950669497895721</v>
      </c>
      <c r="W14">
        <v>1.6039681294456802</v>
      </c>
      <c r="X14">
        <v>1.526943968459443</v>
      </c>
      <c r="Y14">
        <v>1.4602300947862581</v>
      </c>
      <c r="Z14">
        <v>1.3986053501959348</v>
      </c>
      <c r="AA14">
        <v>1.3361587487932189</v>
      </c>
      <c r="AB14">
        <v>1.2740416303680799</v>
      </c>
      <c r="AC14">
        <v>1.2164094283620095</v>
      </c>
      <c r="AD14">
        <v>1.1660878263798171</v>
      </c>
      <c r="AE14">
        <v>1.1189016125439812</v>
      </c>
      <c r="AF14">
        <v>1.0749354598230592</v>
      </c>
      <c r="AG14">
        <v>1.0359338408266459</v>
      </c>
      <c r="AH14">
        <v>0.99833081359981413</v>
      </c>
      <c r="AI14">
        <v>0.96389843077983084</v>
      </c>
      <c r="AJ14">
        <v>0.93004382969522026</v>
      </c>
      <c r="AK14">
        <v>0.89428348180918937</v>
      </c>
      <c r="AL14">
        <v>0.86118575677903986</v>
      </c>
      <c r="AM14">
        <v>0.83239658264938199</v>
      </c>
      <c r="AN14">
        <v>0.80519332181265513</v>
      </c>
      <c r="AO14">
        <v>0.78078210024193462</v>
      </c>
      <c r="AP14">
        <v>0.75860434293394463</v>
      </c>
      <c r="AQ14">
        <v>0.73623355562632831</v>
      </c>
      <c r="AR14">
        <v>0.7177593889742574</v>
      </c>
      <c r="AS14">
        <v>0.6912779883968142</v>
      </c>
      <c r="AT14">
        <v>0.67418208525353984</v>
      </c>
      <c r="AU14">
        <v>0.66050737359515832</v>
      </c>
      <c r="AV14">
        <v>0.65348131566338308</v>
      </c>
      <c r="AW14">
        <v>0.6568747099997021</v>
      </c>
      <c r="AX14">
        <v>0.67160964597934658</v>
      </c>
      <c r="AY14">
        <v>0.69111923087956095</v>
      </c>
      <c r="AZ14">
        <v>0.71853624045290698</v>
      </c>
      <c r="BA14">
        <v>0.77410458408029292</v>
      </c>
      <c r="BB14">
        <v>0.80580595496920637</v>
      </c>
      <c r="BC14">
        <v>0.81199445232613754</v>
      </c>
      <c r="BD14">
        <v>0.81202361327568107</v>
      </c>
      <c r="BE14">
        <v>0.81648025305123273</v>
      </c>
      <c r="BF14">
        <v>0.81797376086341789</v>
      </c>
      <c r="BG14">
        <v>0.81990393244657289</v>
      </c>
      <c r="BH14">
        <v>0.82447152430759907</v>
      </c>
      <c r="BI14">
        <v>0.82594920940177896</v>
      </c>
      <c r="BJ14">
        <v>0.8350237919666712</v>
      </c>
      <c r="BK14">
        <v>0.84901156477643858</v>
      </c>
      <c r="BL14">
        <v>0.89149340618209894</v>
      </c>
      <c r="BM14">
        <v>0.96354874097811427</v>
      </c>
      <c r="BN14">
        <v>1.0229299934257658</v>
      </c>
      <c r="BO14">
        <v>1.0679699835708261</v>
      </c>
      <c r="BP14">
        <v>1.0845275066936118</v>
      </c>
      <c r="BQ14">
        <v>1.0787601205779633</v>
      </c>
      <c r="BR14">
        <v>1.048109576059594</v>
      </c>
      <c r="BS14">
        <v>1.0194241457958544</v>
      </c>
      <c r="BT14">
        <v>1.0217470746601183</v>
      </c>
      <c r="BU14">
        <v>1.0675282917004849</v>
      </c>
      <c r="BV14">
        <v>1.1491275055341446</v>
      </c>
      <c r="BW14">
        <v>1.2847774640252985</v>
      </c>
      <c r="BX14">
        <v>1.4985125963090635</v>
      </c>
    </row>
    <row r="15" spans="1:76">
      <c r="A15" t="s">
        <v>185</v>
      </c>
      <c r="B15">
        <v>2008</v>
      </c>
      <c r="C15">
        <v>10</v>
      </c>
      <c r="D15">
        <v>22</v>
      </c>
      <c r="E15">
        <v>9.8999999999999986</v>
      </c>
      <c r="F15">
        <v>3</v>
      </c>
      <c r="G15">
        <v>0.47597499999999998</v>
      </c>
      <c r="H15">
        <v>6.1104308552253155</v>
      </c>
      <c r="I15">
        <v>3</v>
      </c>
      <c r="J15">
        <v>0.75652939235092698</v>
      </c>
      <c r="K15">
        <v>1.5162857030873593</v>
      </c>
      <c r="L15">
        <v>1.147114701587078</v>
      </c>
      <c r="M15">
        <v>2.1863450221327008</v>
      </c>
      <c r="N15">
        <v>2.0579471651802459</v>
      </c>
      <c r="O15">
        <v>1.9385640427334752</v>
      </c>
      <c r="P15">
        <v>1.8354897554781493</v>
      </c>
      <c r="Q15">
        <v>1.7367965178922351</v>
      </c>
      <c r="R15">
        <v>1.6448635740416035</v>
      </c>
      <c r="S15">
        <v>1.5672555093281086</v>
      </c>
      <c r="T15">
        <v>1.4941742435332561</v>
      </c>
      <c r="U15">
        <v>1.4233415960777647</v>
      </c>
      <c r="V15">
        <v>1.3459908665904241</v>
      </c>
      <c r="W15">
        <v>1.2702043687902977</v>
      </c>
      <c r="X15">
        <v>1.2048740109719485</v>
      </c>
      <c r="Y15">
        <v>1.1476677972690779</v>
      </c>
      <c r="Z15">
        <v>1.0949874915442428</v>
      </c>
      <c r="AA15">
        <v>1.0426240040904347</v>
      </c>
      <c r="AB15">
        <v>0.99137834940271286</v>
      </c>
      <c r="AC15">
        <v>0.94411413212133322</v>
      </c>
      <c r="AD15">
        <v>0.90241154660285727</v>
      </c>
      <c r="AE15">
        <v>0.86362492199045438</v>
      </c>
      <c r="AF15">
        <v>0.82794358741852769</v>
      </c>
      <c r="AG15">
        <v>0.79648449903137375</v>
      </c>
      <c r="AH15">
        <v>0.76716331551184003</v>
      </c>
      <c r="AI15">
        <v>0.74108598841560291</v>
      </c>
      <c r="AJ15">
        <v>0.71586463386555477</v>
      </c>
      <c r="AK15">
        <v>0.68739069761935356</v>
      </c>
      <c r="AL15">
        <v>0.6608685985503413</v>
      </c>
      <c r="AM15">
        <v>0.63799244346466266</v>
      </c>
      <c r="AN15">
        <v>0.61654169556200678</v>
      </c>
      <c r="AO15">
        <v>0.59745052065490789</v>
      </c>
      <c r="AP15">
        <v>0.58072081390075381</v>
      </c>
      <c r="AQ15">
        <v>0.56473374768808515</v>
      </c>
      <c r="AR15">
        <v>0.55082385982918813</v>
      </c>
      <c r="AS15">
        <v>0.53107217454586464</v>
      </c>
      <c r="AT15">
        <v>0.51815688294397144</v>
      </c>
      <c r="AU15">
        <v>0.50904769139697281</v>
      </c>
      <c r="AV15">
        <v>0.50577089675619791</v>
      </c>
      <c r="AW15">
        <v>0.51188013385700049</v>
      </c>
      <c r="AX15">
        <v>0.52924232616607358</v>
      </c>
      <c r="AY15">
        <v>0.55176055100103039</v>
      </c>
      <c r="AZ15">
        <v>0.58243762535257615</v>
      </c>
      <c r="BA15">
        <v>0.64143277923159359</v>
      </c>
      <c r="BB15">
        <v>0.67521775747008594</v>
      </c>
      <c r="BC15">
        <v>0.68194406348678849</v>
      </c>
      <c r="BD15">
        <v>0.68243429599360983</v>
      </c>
      <c r="BE15">
        <v>0.68767531565024775</v>
      </c>
      <c r="BF15">
        <v>0.69096375771848173</v>
      </c>
      <c r="BG15">
        <v>0.69470680311784538</v>
      </c>
      <c r="BH15">
        <v>0.70084633158994947</v>
      </c>
      <c r="BI15">
        <v>0.70485871797104993</v>
      </c>
      <c r="BJ15">
        <v>0.71594112588124914</v>
      </c>
      <c r="BK15">
        <v>0.73076720273894635</v>
      </c>
      <c r="BL15">
        <v>0.77134796468168765</v>
      </c>
      <c r="BM15">
        <v>0.83550639770193935</v>
      </c>
      <c r="BN15">
        <v>0.88350301584237867</v>
      </c>
      <c r="BO15">
        <v>0.918189741047021</v>
      </c>
      <c r="BP15">
        <v>0.93262399867340218</v>
      </c>
      <c r="BQ15">
        <v>0.93445108400533661</v>
      </c>
      <c r="BR15">
        <v>0.92044617505484838</v>
      </c>
      <c r="BS15">
        <v>0.91114408786731815</v>
      </c>
      <c r="BT15">
        <v>0.92826556706397767</v>
      </c>
      <c r="BU15">
        <v>0.98379585408809767</v>
      </c>
      <c r="BV15">
        <v>1.0698243580838733</v>
      </c>
      <c r="BW15">
        <v>1.2093741122313888</v>
      </c>
      <c r="BX15">
        <v>1.4243568263271125</v>
      </c>
    </row>
    <row r="16" spans="1:76">
      <c r="A16" t="s">
        <v>186</v>
      </c>
      <c r="B16">
        <v>2008</v>
      </c>
      <c r="C16">
        <v>10</v>
      </c>
      <c r="D16">
        <v>22</v>
      </c>
      <c r="E16">
        <v>10.050000000000001</v>
      </c>
      <c r="F16">
        <v>3</v>
      </c>
      <c r="G16">
        <v>0.65553600000000001</v>
      </c>
      <c r="H16">
        <v>12.825992278031924</v>
      </c>
      <c r="I16">
        <v>5</v>
      </c>
      <c r="J16">
        <v>1.0469336159845142</v>
      </c>
      <c r="K16">
        <v>0.90201937966871104</v>
      </c>
      <c r="L16">
        <v>0.94435441084467198</v>
      </c>
      <c r="M16">
        <v>3.251887959243378</v>
      </c>
      <c r="N16">
        <v>3.0740753704649455</v>
      </c>
      <c r="O16">
        <v>2.9074796328116235</v>
      </c>
      <c r="P16">
        <v>2.7649581291573528</v>
      </c>
      <c r="Q16">
        <v>2.6267648389867393</v>
      </c>
      <c r="R16">
        <v>2.4972717872407948</v>
      </c>
      <c r="S16">
        <v>2.3896354945295886</v>
      </c>
      <c r="T16">
        <v>2.2874222162538671</v>
      </c>
      <c r="U16">
        <v>2.1865605591146426</v>
      </c>
      <c r="V16">
        <v>2.0728756510053641</v>
      </c>
      <c r="W16">
        <v>1.9598533824198081</v>
      </c>
      <c r="X16">
        <v>1.864108300628966</v>
      </c>
      <c r="Y16">
        <v>1.780950826449119</v>
      </c>
      <c r="Z16">
        <v>1.7041515301904075</v>
      </c>
      <c r="AA16">
        <v>1.6267632042740421</v>
      </c>
      <c r="AB16">
        <v>1.5500527864517655</v>
      </c>
      <c r="AC16">
        <v>1.4788235146084228</v>
      </c>
      <c r="AD16">
        <v>1.4165481017858157</v>
      </c>
      <c r="AE16">
        <v>1.3581251573892015</v>
      </c>
      <c r="AF16">
        <v>1.3035229464812317</v>
      </c>
      <c r="AG16">
        <v>1.2547878360833684</v>
      </c>
      <c r="AH16">
        <v>1.207469789872984</v>
      </c>
      <c r="AI16">
        <v>1.1636780004570151</v>
      </c>
      <c r="AJ16">
        <v>1.1207035202904456</v>
      </c>
      <c r="AK16">
        <v>1.0770413491020123</v>
      </c>
      <c r="AL16">
        <v>1.0367697999973466</v>
      </c>
      <c r="AM16">
        <v>1.0014395900082578</v>
      </c>
      <c r="AN16">
        <v>0.96804954856446601</v>
      </c>
      <c r="AO16">
        <v>0.93791137182916584</v>
      </c>
      <c r="AP16">
        <v>0.91011717183580587</v>
      </c>
      <c r="AQ16">
        <v>0.88179658350303214</v>
      </c>
      <c r="AR16">
        <v>0.85854624656536194</v>
      </c>
      <c r="AS16">
        <v>0.82637779212010876</v>
      </c>
      <c r="AT16">
        <v>0.80502393319502685</v>
      </c>
      <c r="AU16">
        <v>0.78691725861796358</v>
      </c>
      <c r="AV16">
        <v>0.77590031532820114</v>
      </c>
      <c r="AW16">
        <v>0.77578678475668195</v>
      </c>
      <c r="AX16">
        <v>0.78694378193386305</v>
      </c>
      <c r="AY16">
        <v>0.80268619365964466</v>
      </c>
      <c r="AZ16">
        <v>0.82615998976277916</v>
      </c>
      <c r="BA16">
        <v>0.87729908053859207</v>
      </c>
      <c r="BB16">
        <v>0.9059421344432721</v>
      </c>
      <c r="BC16">
        <v>0.9105357049038697</v>
      </c>
      <c r="BD16">
        <v>0.90918605522660401</v>
      </c>
      <c r="BE16">
        <v>0.91205058392178129</v>
      </c>
      <c r="BF16">
        <v>0.9114388423041182</v>
      </c>
      <c r="BG16">
        <v>0.91129320976247619</v>
      </c>
      <c r="BH16">
        <v>0.91393189922812201</v>
      </c>
      <c r="BI16">
        <v>0.91298390058888157</v>
      </c>
      <c r="BJ16">
        <v>0.91986752406593819</v>
      </c>
      <c r="BK16">
        <v>0.93233149046957597</v>
      </c>
      <c r="BL16">
        <v>0.97452787271997132</v>
      </c>
      <c r="BM16">
        <v>1.0495130408867628</v>
      </c>
      <c r="BN16">
        <v>1.1141905197075914</v>
      </c>
      <c r="BO16">
        <v>1.1641518149655612</v>
      </c>
      <c r="BP16">
        <v>1.1810807214167867</v>
      </c>
      <c r="BQ16">
        <v>1.1701260304369694</v>
      </c>
      <c r="BR16">
        <v>1.1291773324754493</v>
      </c>
      <c r="BS16">
        <v>1.0885038335023745</v>
      </c>
      <c r="BT16">
        <v>1.0811525751772106</v>
      </c>
      <c r="BU16">
        <v>1.1196573942376142</v>
      </c>
      <c r="BV16">
        <v>1.1966662449282059</v>
      </c>
      <c r="BW16">
        <v>1.3271901445802796</v>
      </c>
      <c r="BX16">
        <v>1.5361726791353363</v>
      </c>
    </row>
    <row r="17" spans="1:76">
      <c r="A17" t="s">
        <v>187</v>
      </c>
      <c r="B17">
        <v>2008</v>
      </c>
      <c r="C17">
        <v>10</v>
      </c>
      <c r="D17">
        <v>22</v>
      </c>
      <c r="E17">
        <v>10.283333333333333</v>
      </c>
      <c r="F17">
        <v>3</v>
      </c>
      <c r="G17">
        <v>0.48057800000000001</v>
      </c>
      <c r="H17">
        <v>10.275276282416607</v>
      </c>
      <c r="I17">
        <v>3.5</v>
      </c>
      <c r="J17">
        <v>0.84369744314720219</v>
      </c>
      <c r="K17">
        <v>1.2993740061435721</v>
      </c>
      <c r="L17">
        <v>1.0962785266752688</v>
      </c>
      <c r="M17">
        <v>2.3797913924730825</v>
      </c>
      <c r="N17">
        <v>2.2520865455007311</v>
      </c>
      <c r="O17">
        <v>2.1321181763245916</v>
      </c>
      <c r="P17">
        <v>2.030922065506839</v>
      </c>
      <c r="Q17">
        <v>1.931863385859814</v>
      </c>
      <c r="R17">
        <v>1.8387731960953742</v>
      </c>
      <c r="S17">
        <v>1.7629151693180827</v>
      </c>
      <c r="T17">
        <v>1.6904743336934975</v>
      </c>
      <c r="U17">
        <v>1.6181861829435158</v>
      </c>
      <c r="V17">
        <v>1.5340198616733021</v>
      </c>
      <c r="W17">
        <v>1.4495759708989868</v>
      </c>
      <c r="X17">
        <v>1.3787358133440801</v>
      </c>
      <c r="Y17">
        <v>1.3177744877313873</v>
      </c>
      <c r="Z17">
        <v>1.2615258818883466</v>
      </c>
      <c r="AA17">
        <v>1.2041395243985455</v>
      </c>
      <c r="AB17">
        <v>1.1467823772715122</v>
      </c>
      <c r="AC17">
        <v>1.0936055605086032</v>
      </c>
      <c r="AD17">
        <v>1.0474552012622464</v>
      </c>
      <c r="AE17">
        <v>1.0041852860426175</v>
      </c>
      <c r="AF17">
        <v>0.96389323647564484</v>
      </c>
      <c r="AG17">
        <v>0.92833488912577611</v>
      </c>
      <c r="AH17">
        <v>0.89395714401131643</v>
      </c>
      <c r="AI17">
        <v>0.86254630757156503</v>
      </c>
      <c r="AJ17">
        <v>0.8315559737188668</v>
      </c>
      <c r="AK17">
        <v>0.79861250124280592</v>
      </c>
      <c r="AL17">
        <v>0.76820216281606701</v>
      </c>
      <c r="AM17">
        <v>0.74195857542231758</v>
      </c>
      <c r="AN17">
        <v>0.71719016428615356</v>
      </c>
      <c r="AO17">
        <v>0.69510538874215433</v>
      </c>
      <c r="AP17">
        <v>0.67513858056051212</v>
      </c>
      <c r="AQ17">
        <v>0.65487345884529236</v>
      </c>
      <c r="AR17">
        <v>0.63845696029792043</v>
      </c>
      <c r="AS17">
        <v>0.61400621427983904</v>
      </c>
      <c r="AT17">
        <v>0.59885079208723879</v>
      </c>
      <c r="AU17">
        <v>0.58699664848006361</v>
      </c>
      <c r="AV17">
        <v>0.58166276682931306</v>
      </c>
      <c r="AW17">
        <v>0.58655315246018869</v>
      </c>
      <c r="AX17">
        <v>0.6025203534088166</v>
      </c>
      <c r="AY17">
        <v>0.62309042943382775</v>
      </c>
      <c r="AZ17">
        <v>0.65134923466419026</v>
      </c>
      <c r="BA17">
        <v>0.7071765445237832</v>
      </c>
      <c r="BB17">
        <v>0.73958947330976899</v>
      </c>
      <c r="BC17">
        <v>0.7469862024304772</v>
      </c>
      <c r="BD17">
        <v>0.74830823329668017</v>
      </c>
      <c r="BE17">
        <v>0.75393276922857</v>
      </c>
      <c r="BF17">
        <v>0.75658121491264496</v>
      </c>
      <c r="BG17">
        <v>0.75963183124465827</v>
      </c>
      <c r="BH17">
        <v>0.76525662665197924</v>
      </c>
      <c r="BI17">
        <v>0.76778857025097147</v>
      </c>
      <c r="BJ17">
        <v>0.77777888989823507</v>
      </c>
      <c r="BK17">
        <v>0.79261968342215705</v>
      </c>
      <c r="BL17">
        <v>0.83551982189335883</v>
      </c>
      <c r="BM17">
        <v>0.90768406158656645</v>
      </c>
      <c r="BN17">
        <v>0.9675403715662011</v>
      </c>
      <c r="BO17">
        <v>1.0132629216794529</v>
      </c>
      <c r="BP17">
        <v>1.0306750758876864</v>
      </c>
      <c r="BQ17">
        <v>1.0257655337295475</v>
      </c>
      <c r="BR17">
        <v>0.99605169531819737</v>
      </c>
      <c r="BS17">
        <v>0.96814805830780382</v>
      </c>
      <c r="BT17">
        <v>0.97086539870379718</v>
      </c>
      <c r="BU17">
        <v>1.0164485803625773</v>
      </c>
      <c r="BV17">
        <v>1.0974092097826709</v>
      </c>
      <c r="BW17">
        <v>1.231462090911486</v>
      </c>
      <c r="BX17">
        <v>1.4422943589007964</v>
      </c>
    </row>
    <row r="18" spans="1:76">
      <c r="A18" t="s">
        <v>188</v>
      </c>
      <c r="B18">
        <v>2008</v>
      </c>
      <c r="C18">
        <v>10</v>
      </c>
      <c r="D18">
        <v>22</v>
      </c>
      <c r="E18">
        <v>10.55</v>
      </c>
      <c r="F18">
        <v>3</v>
      </c>
      <c r="G18">
        <v>0.50276100000000001</v>
      </c>
      <c r="H18">
        <v>8.745699734899631</v>
      </c>
      <c r="I18">
        <v>3.2</v>
      </c>
      <c r="J18">
        <v>0.79928194953895959</v>
      </c>
      <c r="K18">
        <v>1.4245218013116181</v>
      </c>
      <c r="L18">
        <v>1.1385945625131006</v>
      </c>
      <c r="M18">
        <v>2.327465563077308</v>
      </c>
      <c r="N18">
        <v>2.1957308280494332</v>
      </c>
      <c r="O18">
        <v>2.0725946168496128</v>
      </c>
      <c r="P18">
        <v>1.9676524182850061</v>
      </c>
      <c r="Q18">
        <v>1.8660071458637477</v>
      </c>
      <c r="R18">
        <v>1.7709157456172138</v>
      </c>
      <c r="S18">
        <v>1.6922237908920668</v>
      </c>
      <c r="T18">
        <v>1.617601074355153</v>
      </c>
      <c r="U18">
        <v>1.5441256394619296</v>
      </c>
      <c r="V18">
        <v>1.4609830997205562</v>
      </c>
      <c r="W18">
        <v>1.37842549508734</v>
      </c>
      <c r="X18">
        <v>1.3084610301266086</v>
      </c>
      <c r="Y18">
        <v>1.2478610202755887</v>
      </c>
      <c r="Z18">
        <v>1.1920317887796079</v>
      </c>
      <c r="AA18">
        <v>1.1357294373341795</v>
      </c>
      <c r="AB18">
        <v>1.0799707860102647</v>
      </c>
      <c r="AC18">
        <v>1.0284088906019462</v>
      </c>
      <c r="AD18">
        <v>0.98341382071817529</v>
      </c>
      <c r="AE18">
        <v>0.94138554411434927</v>
      </c>
      <c r="AF18">
        <v>0.90244259359162671</v>
      </c>
      <c r="AG18">
        <v>0.86809220384285557</v>
      </c>
      <c r="AH18">
        <v>0.83531133910512612</v>
      </c>
      <c r="AI18">
        <v>0.80562687705516678</v>
      </c>
      <c r="AJ18">
        <v>0.77656820961142281</v>
      </c>
      <c r="AK18">
        <v>0.74518914988789009</v>
      </c>
      <c r="AL18">
        <v>0.71616630127238035</v>
      </c>
      <c r="AM18">
        <v>0.69113007258443915</v>
      </c>
      <c r="AN18">
        <v>0.66757619816183822</v>
      </c>
      <c r="AO18">
        <v>0.64660062565558674</v>
      </c>
      <c r="AP18">
        <v>0.62783203675548627</v>
      </c>
      <c r="AQ18">
        <v>0.60915092806004267</v>
      </c>
      <c r="AR18">
        <v>0.59369990973360187</v>
      </c>
      <c r="AS18">
        <v>0.57107555252201414</v>
      </c>
      <c r="AT18">
        <v>0.55682571611355802</v>
      </c>
      <c r="AU18">
        <v>0.54603051141462833</v>
      </c>
      <c r="AV18">
        <v>0.54146528581803643</v>
      </c>
      <c r="AW18">
        <v>0.5467408946289456</v>
      </c>
      <c r="AX18">
        <v>0.56304916503476665</v>
      </c>
      <c r="AY18">
        <v>0.5841194661434761</v>
      </c>
      <c r="AZ18">
        <v>0.61297824810266044</v>
      </c>
      <c r="BA18">
        <v>0.66940251331894352</v>
      </c>
      <c r="BB18">
        <v>0.70205227541456527</v>
      </c>
      <c r="BC18">
        <v>0.70924310792156509</v>
      </c>
      <c r="BD18">
        <v>0.71037107633920826</v>
      </c>
      <c r="BE18">
        <v>0.71591906371691238</v>
      </c>
      <c r="BF18">
        <v>0.71887763175578345</v>
      </c>
      <c r="BG18">
        <v>0.72225722642703039</v>
      </c>
      <c r="BH18">
        <v>0.72812880640452793</v>
      </c>
      <c r="BI18">
        <v>0.73127379806693649</v>
      </c>
      <c r="BJ18">
        <v>0.74167480692938248</v>
      </c>
      <c r="BK18">
        <v>0.75650124722568191</v>
      </c>
      <c r="BL18">
        <v>0.79832109693458997</v>
      </c>
      <c r="BM18">
        <v>0.86716747165628782</v>
      </c>
      <c r="BN18">
        <v>0.92250456542990045</v>
      </c>
      <c r="BO18">
        <v>0.96413037211318242</v>
      </c>
      <c r="BP18">
        <v>0.98049370664069313</v>
      </c>
      <c r="BQ18">
        <v>0.97809618706620938</v>
      </c>
      <c r="BR18">
        <v>0.95422478586878057</v>
      </c>
      <c r="BS18">
        <v>0.93314275056820573</v>
      </c>
      <c r="BT18">
        <v>0.94094169672070271</v>
      </c>
      <c r="BU18">
        <v>0.98965849326964483</v>
      </c>
      <c r="BV18">
        <v>1.0717318787429844</v>
      </c>
      <c r="BW18">
        <v>1.2065327794871163</v>
      </c>
      <c r="BX18">
        <v>1.4169081840950268</v>
      </c>
    </row>
    <row r="19" spans="1:76">
      <c r="A19" t="s">
        <v>189</v>
      </c>
      <c r="B19">
        <v>2008</v>
      </c>
      <c r="C19">
        <v>10</v>
      </c>
      <c r="D19">
        <v>22</v>
      </c>
      <c r="E19">
        <v>10.833333333333334</v>
      </c>
      <c r="F19">
        <v>3</v>
      </c>
      <c r="G19">
        <v>0.45409699999999997</v>
      </c>
      <c r="H19">
        <v>10.038043519635371</v>
      </c>
      <c r="I19">
        <v>3.6</v>
      </c>
      <c r="J19">
        <v>0.84317256160475995</v>
      </c>
      <c r="K19">
        <v>1.2621620128578404</v>
      </c>
      <c r="L19">
        <v>1.0642203775415653</v>
      </c>
      <c r="M19">
        <v>2.3077042598354525</v>
      </c>
      <c r="N19">
        <v>2.1869453584222711</v>
      </c>
      <c r="O19">
        <v>2.0733514200418148</v>
      </c>
      <c r="P19">
        <v>1.9776880749920465</v>
      </c>
      <c r="Q19">
        <v>1.8838036909803466</v>
      </c>
      <c r="R19">
        <v>1.7954528286606968</v>
      </c>
      <c r="S19">
        <v>1.7236130946109174</v>
      </c>
      <c r="T19">
        <v>1.6548735388813489</v>
      </c>
      <c r="U19">
        <v>1.5860903426280186</v>
      </c>
      <c r="V19">
        <v>1.5055729060409555</v>
      </c>
      <c r="W19">
        <v>1.4246273566205168</v>
      </c>
      <c r="X19">
        <v>1.3567380208050885</v>
      </c>
      <c r="Y19">
        <v>1.2983170757669897</v>
      </c>
      <c r="Z19">
        <v>1.2443590373527145</v>
      </c>
      <c r="AA19">
        <v>1.1891833421827738</v>
      </c>
      <c r="AB19">
        <v>1.1339408125937356</v>
      </c>
      <c r="AC19">
        <v>1.0826807768333009</v>
      </c>
      <c r="AD19">
        <v>1.0381647535018486</v>
      </c>
      <c r="AE19">
        <v>0.99638361979031864</v>
      </c>
      <c r="AF19">
        <v>0.95745042082384968</v>
      </c>
      <c r="AG19">
        <v>0.92307764989477137</v>
      </c>
      <c r="AH19">
        <v>0.88983497838399728</v>
      </c>
      <c r="AI19">
        <v>0.8594636074565476</v>
      </c>
      <c r="AJ19">
        <v>0.82946071768449525</v>
      </c>
      <c r="AK19">
        <v>0.79739205559175796</v>
      </c>
      <c r="AL19">
        <v>0.76774048890259206</v>
      </c>
      <c r="AM19">
        <v>0.74213354027764344</v>
      </c>
      <c r="AN19">
        <v>0.71793721148791878</v>
      </c>
      <c r="AO19">
        <v>0.69633866621843676</v>
      </c>
      <c r="AP19">
        <v>0.67681075569248161</v>
      </c>
      <c r="AQ19">
        <v>0.65700481792680465</v>
      </c>
      <c r="AR19">
        <v>0.6408916323355146</v>
      </c>
      <c r="AS19">
        <v>0.61689489704606415</v>
      </c>
      <c r="AT19">
        <v>0.60196239869302293</v>
      </c>
      <c r="AU19">
        <v>0.59030722021709525</v>
      </c>
      <c r="AV19">
        <v>0.58506401371768679</v>
      </c>
      <c r="AW19">
        <v>0.58989843032890643</v>
      </c>
      <c r="AX19">
        <v>0.60570040243303791</v>
      </c>
      <c r="AY19">
        <v>0.62606415622852429</v>
      </c>
      <c r="AZ19">
        <v>0.65403824878107508</v>
      </c>
      <c r="BA19">
        <v>0.70930183246321121</v>
      </c>
      <c r="BB19">
        <v>0.74127203198357461</v>
      </c>
      <c r="BC19">
        <v>0.74837777113116366</v>
      </c>
      <c r="BD19">
        <v>0.74945815392785586</v>
      </c>
      <c r="BE19">
        <v>0.75480898543849728</v>
      </c>
      <c r="BF19">
        <v>0.75726276408635129</v>
      </c>
      <c r="BG19">
        <v>0.76011067475544636</v>
      </c>
      <c r="BH19">
        <v>0.76548905074273454</v>
      </c>
      <c r="BI19">
        <v>0.76785430709917735</v>
      </c>
      <c r="BJ19">
        <v>0.77757042969280088</v>
      </c>
      <c r="BK19">
        <v>0.79201998570056109</v>
      </c>
      <c r="BL19">
        <v>0.83408223014932448</v>
      </c>
      <c r="BM19">
        <v>0.9047694713085167</v>
      </c>
      <c r="BN19">
        <v>0.96308514598226735</v>
      </c>
      <c r="BO19">
        <v>1.0074689587747709</v>
      </c>
      <c r="BP19">
        <v>1.024285186387925</v>
      </c>
      <c r="BQ19">
        <v>1.0195415902981033</v>
      </c>
      <c r="BR19">
        <v>0.99074713350820998</v>
      </c>
      <c r="BS19">
        <v>0.96389085976604505</v>
      </c>
      <c r="BT19">
        <v>0.96708176973779958</v>
      </c>
      <c r="BU19">
        <v>1.0124094075160817</v>
      </c>
      <c r="BV19">
        <v>1.0924490942235534</v>
      </c>
      <c r="BW19">
        <v>1.2249864710264751</v>
      </c>
      <c r="BX19">
        <v>1.4333417914608937</v>
      </c>
    </row>
    <row r="20" spans="1:76">
      <c r="A20" t="s">
        <v>190</v>
      </c>
      <c r="B20">
        <v>2008</v>
      </c>
      <c r="C20">
        <v>10</v>
      </c>
      <c r="D20">
        <v>22</v>
      </c>
      <c r="E20">
        <v>11.05</v>
      </c>
      <c r="F20">
        <v>3</v>
      </c>
      <c r="G20">
        <v>0.58106000000000002</v>
      </c>
      <c r="H20">
        <v>8.776798593918862</v>
      </c>
      <c r="I20">
        <v>3.2</v>
      </c>
      <c r="J20">
        <v>0.80763346854200757</v>
      </c>
      <c r="K20">
        <v>1.427014499865213</v>
      </c>
      <c r="L20">
        <v>1.1525046701858801</v>
      </c>
      <c r="M20">
        <v>2.516492107839519</v>
      </c>
      <c r="N20">
        <v>2.3671480668941185</v>
      </c>
      <c r="O20">
        <v>2.2280312116365302</v>
      </c>
      <c r="P20">
        <v>2.1085336237265038</v>
      </c>
      <c r="Q20">
        <v>1.9936982099176328</v>
      </c>
      <c r="R20">
        <v>1.8866389423228422</v>
      </c>
      <c r="S20">
        <v>1.7970331092026535</v>
      </c>
      <c r="T20">
        <v>1.7125118320351997</v>
      </c>
      <c r="U20">
        <v>1.6300725325585446</v>
      </c>
      <c r="V20">
        <v>1.5388766854456803</v>
      </c>
      <c r="W20">
        <v>1.4490409058606615</v>
      </c>
      <c r="X20">
        <v>1.3724427991388293</v>
      </c>
      <c r="Y20">
        <v>1.3058032968136213</v>
      </c>
      <c r="Z20">
        <v>1.2444944426820259</v>
      </c>
      <c r="AA20">
        <v>1.183249933022146</v>
      </c>
      <c r="AB20">
        <v>1.1230349320660977</v>
      </c>
      <c r="AC20">
        <v>1.0674368003620502</v>
      </c>
      <c r="AD20">
        <v>1.0187719722532627</v>
      </c>
      <c r="AE20">
        <v>0.9734231163357604</v>
      </c>
      <c r="AF20">
        <v>0.93147341996478672</v>
      </c>
      <c r="AG20">
        <v>0.894385499338196</v>
      </c>
      <c r="AH20">
        <v>0.8591249010291675</v>
      </c>
      <c r="AI20">
        <v>0.82718103576395796</v>
      </c>
      <c r="AJ20">
        <v>0.79608597461695907</v>
      </c>
      <c r="AK20">
        <v>0.76291883611353817</v>
      </c>
      <c r="AL20">
        <v>0.73227707198409364</v>
      </c>
      <c r="AM20">
        <v>0.70574889698201737</v>
      </c>
      <c r="AN20">
        <v>0.68084153415221671</v>
      </c>
      <c r="AO20">
        <v>0.65862071583199611</v>
      </c>
      <c r="AP20">
        <v>0.63869993089847377</v>
      </c>
      <c r="AQ20">
        <v>0.61897221870775243</v>
      </c>
      <c r="AR20">
        <v>0.60254834645615007</v>
      </c>
      <c r="AS20">
        <v>0.57912665401954699</v>
      </c>
      <c r="AT20">
        <v>0.56406774895074296</v>
      </c>
      <c r="AU20">
        <v>0.55249190388314817</v>
      </c>
      <c r="AV20">
        <v>0.5471441540667038</v>
      </c>
      <c r="AW20">
        <v>0.55159688350699865</v>
      </c>
      <c r="AX20">
        <v>0.56703614804031399</v>
      </c>
      <c r="AY20">
        <v>0.58726818366593525</v>
      </c>
      <c r="AZ20">
        <v>0.61528922597922642</v>
      </c>
      <c r="BA20">
        <v>0.67070289039761288</v>
      </c>
      <c r="BB20">
        <v>0.70263066268577157</v>
      </c>
      <c r="BC20">
        <v>0.70937017809931613</v>
      </c>
      <c r="BD20">
        <v>0.71013266619897775</v>
      </c>
      <c r="BE20">
        <v>0.71530742516544599</v>
      </c>
      <c r="BF20">
        <v>0.71793490337479415</v>
      </c>
      <c r="BG20">
        <v>0.72100535570620572</v>
      </c>
      <c r="BH20">
        <v>0.72657255092495043</v>
      </c>
      <c r="BI20">
        <v>0.72944904666297605</v>
      </c>
      <c r="BJ20">
        <v>0.73954702283640783</v>
      </c>
      <c r="BK20">
        <v>0.75406107959901869</v>
      </c>
      <c r="BL20">
        <v>0.79538774210511953</v>
      </c>
      <c r="BM20">
        <v>0.86358537076828179</v>
      </c>
      <c r="BN20">
        <v>0.91842204073599532</v>
      </c>
      <c r="BO20">
        <v>0.95966031506594396</v>
      </c>
      <c r="BP20">
        <v>0.97578534578630005</v>
      </c>
      <c r="BQ20">
        <v>0.97323595233262461</v>
      </c>
      <c r="BR20">
        <v>0.94932549761748586</v>
      </c>
      <c r="BS20">
        <v>0.92816966195911577</v>
      </c>
      <c r="BT20">
        <v>0.93570640473935285</v>
      </c>
      <c r="BU20">
        <v>0.98387992835849902</v>
      </c>
      <c r="BV20">
        <v>1.0651903707688288</v>
      </c>
      <c r="BW20">
        <v>1.198819068750653</v>
      </c>
      <c r="BX20">
        <v>1.4074469268433201</v>
      </c>
    </row>
    <row r="21" spans="1:76">
      <c r="A21" t="s">
        <v>191</v>
      </c>
      <c r="B21">
        <v>2008</v>
      </c>
      <c r="C21">
        <v>10</v>
      </c>
      <c r="D21">
        <v>22</v>
      </c>
      <c r="E21">
        <v>11.283333333333333</v>
      </c>
      <c r="F21">
        <v>3</v>
      </c>
      <c r="G21">
        <v>0.42145199999999999</v>
      </c>
      <c r="H21">
        <v>10.498329431274998</v>
      </c>
      <c r="I21">
        <v>4.3</v>
      </c>
      <c r="J21">
        <v>0.91444243300147621</v>
      </c>
      <c r="K21">
        <v>1.048809912197717</v>
      </c>
      <c r="L21">
        <v>0.95907628786614496</v>
      </c>
      <c r="M21">
        <v>2.3834047922897428</v>
      </c>
      <c r="N21">
        <v>2.2673293790305431</v>
      </c>
      <c r="O21">
        <v>2.1576748119904439</v>
      </c>
      <c r="P21">
        <v>2.0656017843633814</v>
      </c>
      <c r="Q21">
        <v>1.9746010199571655</v>
      </c>
      <c r="R21">
        <v>1.8886078550783683</v>
      </c>
      <c r="S21">
        <v>1.8189733532112538</v>
      </c>
      <c r="T21">
        <v>1.7519739783452659</v>
      </c>
      <c r="U21">
        <v>1.6844147692511022</v>
      </c>
      <c r="V21">
        <v>1.6043549047503585</v>
      </c>
      <c r="W21">
        <v>1.5234392784826218</v>
      </c>
      <c r="X21">
        <v>1.4556283259136125</v>
      </c>
      <c r="Y21">
        <v>1.397231793185912</v>
      </c>
      <c r="Z21">
        <v>1.343127140008624</v>
      </c>
      <c r="AA21">
        <v>1.2875097447159933</v>
      </c>
      <c r="AB21">
        <v>1.2315805873263925</v>
      </c>
      <c r="AC21">
        <v>1.1795181583008802</v>
      </c>
      <c r="AD21">
        <v>1.1342143905959547</v>
      </c>
      <c r="AE21">
        <v>1.0915373062770812</v>
      </c>
      <c r="AF21">
        <v>1.0516019540893899</v>
      </c>
      <c r="AG21">
        <v>1.0161878512913902</v>
      </c>
      <c r="AH21">
        <v>0.98173910290977107</v>
      </c>
      <c r="AI21">
        <v>0.95006671209688032</v>
      </c>
      <c r="AJ21">
        <v>0.91866812457333502</v>
      </c>
      <c r="AK21">
        <v>0.88529450775048912</v>
      </c>
      <c r="AL21">
        <v>0.85434631890563484</v>
      </c>
      <c r="AM21">
        <v>0.82744442182574951</v>
      </c>
      <c r="AN21">
        <v>0.80192118991353334</v>
      </c>
      <c r="AO21">
        <v>0.778990865485093</v>
      </c>
      <c r="AP21">
        <v>0.75807516844627287</v>
      </c>
      <c r="AQ21">
        <v>0.73675527407652819</v>
      </c>
      <c r="AR21">
        <v>0.71927643671565389</v>
      </c>
      <c r="AS21">
        <v>0.69368609452713337</v>
      </c>
      <c r="AT21">
        <v>0.67737594562666714</v>
      </c>
      <c r="AU21">
        <v>0.66427949656437768</v>
      </c>
      <c r="AV21">
        <v>0.65765783825604718</v>
      </c>
      <c r="AW21">
        <v>0.66120115661566425</v>
      </c>
      <c r="AX21">
        <v>0.67569848502010732</v>
      </c>
      <c r="AY21">
        <v>0.69469743045405763</v>
      </c>
      <c r="AZ21">
        <v>0.72124510714054435</v>
      </c>
      <c r="BA21">
        <v>0.77494294626428006</v>
      </c>
      <c r="BB21">
        <v>0.80554621915638913</v>
      </c>
      <c r="BC21">
        <v>0.81154749703014128</v>
      </c>
      <c r="BD21">
        <v>0.81155785123402369</v>
      </c>
      <c r="BE21">
        <v>0.81578600231487797</v>
      </c>
      <c r="BF21">
        <v>0.81702564150097778</v>
      </c>
      <c r="BG21">
        <v>0.8186568552729746</v>
      </c>
      <c r="BH21">
        <v>0.82283312690383004</v>
      </c>
      <c r="BI21">
        <v>0.82391169394204367</v>
      </c>
      <c r="BJ21">
        <v>0.83236292385437016</v>
      </c>
      <c r="BK21">
        <v>0.84564711386908875</v>
      </c>
      <c r="BL21">
        <v>0.88668723326149657</v>
      </c>
      <c r="BM21">
        <v>0.9568179322895537</v>
      </c>
      <c r="BN21">
        <v>1.015000708860136</v>
      </c>
      <c r="BO21">
        <v>1.0592191921536405</v>
      </c>
      <c r="BP21">
        <v>1.0751654195252742</v>
      </c>
      <c r="BQ21">
        <v>1.0686607016126599</v>
      </c>
      <c r="BR21">
        <v>1.0372977527099645</v>
      </c>
      <c r="BS21">
        <v>1.0075786375181393</v>
      </c>
      <c r="BT21">
        <v>1.0082207201106723</v>
      </c>
      <c r="BU21">
        <v>1.0512943967580992</v>
      </c>
      <c r="BV21">
        <v>1.1294416532784866</v>
      </c>
      <c r="BW21">
        <v>1.259847639853779</v>
      </c>
      <c r="BX21">
        <v>1.4659228184879325</v>
      </c>
    </row>
    <row r="22" spans="1:76">
      <c r="A22" t="s">
        <v>192</v>
      </c>
      <c r="B22">
        <v>2008</v>
      </c>
      <c r="C22">
        <v>10</v>
      </c>
      <c r="D22">
        <v>22</v>
      </c>
      <c r="E22">
        <v>11.583333333333334</v>
      </c>
      <c r="F22">
        <v>3</v>
      </c>
      <c r="G22">
        <v>0.49037700000000001</v>
      </c>
      <c r="H22">
        <v>13.148396143231485</v>
      </c>
      <c r="I22">
        <v>3.7</v>
      </c>
      <c r="J22">
        <v>0.88012679048394993</v>
      </c>
      <c r="K22">
        <v>1.2313907056724946</v>
      </c>
      <c r="L22">
        <v>1.0837799496152989</v>
      </c>
      <c r="M22">
        <v>2.4699393424201777</v>
      </c>
      <c r="N22">
        <v>2.3428940192980425</v>
      </c>
      <c r="O22">
        <v>2.2228648386900653</v>
      </c>
      <c r="P22">
        <v>2.123013323041917</v>
      </c>
      <c r="Q22">
        <v>2.0240313200769617</v>
      </c>
      <c r="R22">
        <v>1.9305744569433572</v>
      </c>
      <c r="S22">
        <v>1.8560052118877255</v>
      </c>
      <c r="T22">
        <v>1.784225484953196</v>
      </c>
      <c r="U22">
        <v>1.7114030101866855</v>
      </c>
      <c r="V22">
        <v>1.6236616723483475</v>
      </c>
      <c r="W22">
        <v>1.534590260101184</v>
      </c>
      <c r="X22">
        <v>1.4609228705119743</v>
      </c>
      <c r="Y22">
        <v>1.3981293677276287</v>
      </c>
      <c r="Z22">
        <v>1.3401483004004806</v>
      </c>
      <c r="AA22">
        <v>1.2801967681753337</v>
      </c>
      <c r="AB22">
        <v>1.2196469002108055</v>
      </c>
      <c r="AC22">
        <v>1.1633779669811004</v>
      </c>
      <c r="AD22">
        <v>1.1149652689966616</v>
      </c>
      <c r="AE22">
        <v>1.0694012581831585</v>
      </c>
      <c r="AF22">
        <v>1.0267278696526425</v>
      </c>
      <c r="AG22">
        <v>0.98906562830150335</v>
      </c>
      <c r="AH22">
        <v>0.95201793055279027</v>
      </c>
      <c r="AI22">
        <v>0.91776355032622059</v>
      </c>
      <c r="AJ22">
        <v>0.88368535929416536</v>
      </c>
      <c r="AK22">
        <v>0.84845495347568667</v>
      </c>
      <c r="AL22">
        <v>0.81609343129549472</v>
      </c>
      <c r="AM22">
        <v>0.78818323880501928</v>
      </c>
      <c r="AN22">
        <v>0.76177745802182706</v>
      </c>
      <c r="AO22">
        <v>0.73823351231196943</v>
      </c>
      <c r="AP22">
        <v>0.7166556316770567</v>
      </c>
      <c r="AQ22">
        <v>0.69418159885455821</v>
      </c>
      <c r="AR22">
        <v>0.67656665240799363</v>
      </c>
      <c r="AS22">
        <v>0.64971662619395254</v>
      </c>
      <c r="AT22">
        <v>0.63351901981933623</v>
      </c>
      <c r="AU22">
        <v>0.62029678176721736</v>
      </c>
      <c r="AV22">
        <v>0.61393256033251298</v>
      </c>
      <c r="AW22">
        <v>0.61817872419815012</v>
      </c>
      <c r="AX22">
        <v>0.63328077135100158</v>
      </c>
      <c r="AY22">
        <v>0.65260739435169501</v>
      </c>
      <c r="AZ22">
        <v>0.67925833387612533</v>
      </c>
      <c r="BA22">
        <v>0.73273610453728133</v>
      </c>
      <c r="BB22">
        <v>0.76411736512165951</v>
      </c>
      <c r="BC22">
        <v>0.77196792173407358</v>
      </c>
      <c r="BD22">
        <v>0.7739036015312224</v>
      </c>
      <c r="BE22">
        <v>0.77982816897390383</v>
      </c>
      <c r="BF22">
        <v>0.78219345849243482</v>
      </c>
      <c r="BG22">
        <v>0.78492469392782349</v>
      </c>
      <c r="BH22">
        <v>0.79030939257331556</v>
      </c>
      <c r="BI22">
        <v>0.7920530414143423</v>
      </c>
      <c r="BJ22">
        <v>0.80141105197615781</v>
      </c>
      <c r="BK22">
        <v>0.81623318951555079</v>
      </c>
      <c r="BL22">
        <v>0.86020704292531613</v>
      </c>
      <c r="BM22">
        <v>0.93656299838868728</v>
      </c>
      <c r="BN22">
        <v>1.0030591958400623</v>
      </c>
      <c r="BO22">
        <v>1.0550727313797634</v>
      </c>
      <c r="BP22">
        <v>1.0742196035980087</v>
      </c>
      <c r="BQ22">
        <v>1.0654310369746891</v>
      </c>
      <c r="BR22">
        <v>1.0266971943781109</v>
      </c>
      <c r="BS22">
        <v>0.98801411808508888</v>
      </c>
      <c r="BT22">
        <v>0.98215885680753634</v>
      </c>
      <c r="BU22">
        <v>1.021406852761255</v>
      </c>
      <c r="BV22">
        <v>1.0986025670722308</v>
      </c>
      <c r="BW22">
        <v>1.2280852062463461</v>
      </c>
      <c r="BX22">
        <v>1.4343661134427563</v>
      </c>
    </row>
    <row r="23" spans="1:76">
      <c r="A23" t="s">
        <v>193</v>
      </c>
      <c r="B23">
        <v>2008</v>
      </c>
      <c r="C23">
        <v>10</v>
      </c>
      <c r="D23">
        <v>22</v>
      </c>
      <c r="E23">
        <v>11.75</v>
      </c>
      <c r="F23">
        <v>3</v>
      </c>
      <c r="G23">
        <v>0.47365099999999999</v>
      </c>
      <c r="H23">
        <v>12.486655693961273</v>
      </c>
      <c r="I23">
        <v>4.5</v>
      </c>
      <c r="J23">
        <v>0.95766316501751547</v>
      </c>
      <c r="K23">
        <v>1.0038676332238066</v>
      </c>
      <c r="L23">
        <v>0.961367054891753</v>
      </c>
      <c r="M23">
        <v>2.5996181185363456</v>
      </c>
      <c r="N23">
        <v>2.4714928739533595</v>
      </c>
      <c r="O23">
        <v>2.3503732988965673</v>
      </c>
      <c r="P23">
        <v>2.2489293955338265</v>
      </c>
      <c r="Q23">
        <v>2.1485259082024655</v>
      </c>
      <c r="R23">
        <v>2.0536381043055525</v>
      </c>
      <c r="S23">
        <v>1.9771352179346107</v>
      </c>
      <c r="T23">
        <v>1.9034899614201459</v>
      </c>
      <c r="U23">
        <v>1.8290198655403573</v>
      </c>
      <c r="V23">
        <v>1.7403136636708461</v>
      </c>
      <c r="W23">
        <v>1.650484609530168</v>
      </c>
      <c r="X23">
        <v>1.5755894738571083</v>
      </c>
      <c r="Y23">
        <v>1.5112979539283777</v>
      </c>
      <c r="Z23">
        <v>1.451772794444665</v>
      </c>
      <c r="AA23">
        <v>1.3904656998600573</v>
      </c>
      <c r="AB23">
        <v>1.3287046933850375</v>
      </c>
      <c r="AC23">
        <v>1.271195583210075</v>
      </c>
      <c r="AD23">
        <v>1.221343147592642</v>
      </c>
      <c r="AE23">
        <v>1.1743502994858512</v>
      </c>
      <c r="AF23">
        <v>1.1302735105712314</v>
      </c>
      <c r="AG23">
        <v>1.0911451540990629</v>
      </c>
      <c r="AH23">
        <v>1.0527719004359142</v>
      </c>
      <c r="AI23">
        <v>1.0172378381086742</v>
      </c>
      <c r="AJ23">
        <v>0.98195312928875911</v>
      </c>
      <c r="AK23">
        <v>0.9453655543400532</v>
      </c>
      <c r="AL23">
        <v>0.91157893135302803</v>
      </c>
      <c r="AM23">
        <v>0.88217765575311358</v>
      </c>
      <c r="AN23">
        <v>0.85428368914109942</v>
      </c>
      <c r="AO23">
        <v>0.82921374808425474</v>
      </c>
      <c r="AP23">
        <v>0.80614693682777416</v>
      </c>
      <c r="AQ23">
        <v>0.78232991412362463</v>
      </c>
      <c r="AR23">
        <v>0.76314520369507854</v>
      </c>
      <c r="AS23">
        <v>0.73502471379254186</v>
      </c>
      <c r="AT23">
        <v>0.71723691102919473</v>
      </c>
      <c r="AU23">
        <v>0.7025023245467894</v>
      </c>
      <c r="AV23">
        <v>0.69456078252789422</v>
      </c>
      <c r="AW23">
        <v>0.69716368923511252</v>
      </c>
      <c r="AX23">
        <v>0.71069713031415815</v>
      </c>
      <c r="AY23">
        <v>0.72856377190068522</v>
      </c>
      <c r="AZ23">
        <v>0.7538501139378988</v>
      </c>
      <c r="BA23">
        <v>0.80609672266521926</v>
      </c>
      <c r="BB23">
        <v>0.83599383062288468</v>
      </c>
      <c r="BC23">
        <v>0.84209697869930678</v>
      </c>
      <c r="BD23">
        <v>0.84227984795373767</v>
      </c>
      <c r="BE23">
        <v>0.84652774623661931</v>
      </c>
      <c r="BF23">
        <v>0.84736807981575146</v>
      </c>
      <c r="BG23">
        <v>0.84859594019932327</v>
      </c>
      <c r="BH23">
        <v>0.85246715028608422</v>
      </c>
      <c r="BI23">
        <v>0.85283971436125827</v>
      </c>
      <c r="BJ23">
        <v>0.86078594648175555</v>
      </c>
      <c r="BK23">
        <v>0.87405742386749963</v>
      </c>
      <c r="BL23">
        <v>0.91616587075217026</v>
      </c>
      <c r="BM23">
        <v>0.98986935599947068</v>
      </c>
      <c r="BN23">
        <v>1.053202098815605</v>
      </c>
      <c r="BO23">
        <v>1.1021804247085794</v>
      </c>
      <c r="BP23">
        <v>1.1194116484597672</v>
      </c>
      <c r="BQ23">
        <v>1.1100452888360923</v>
      </c>
      <c r="BR23">
        <v>1.0719736460613734</v>
      </c>
      <c r="BS23">
        <v>1.0343467631348555</v>
      </c>
      <c r="BT23">
        <v>1.0289605258125394</v>
      </c>
      <c r="BU23">
        <v>1.0680425151996382</v>
      </c>
      <c r="BV23">
        <v>1.144383427263298</v>
      </c>
      <c r="BW23">
        <v>1.2730155267676726</v>
      </c>
      <c r="BX23">
        <v>1.4781849886827254</v>
      </c>
    </row>
    <row r="24" spans="1:76">
      <c r="A24" t="s">
        <v>194</v>
      </c>
      <c r="B24">
        <v>2008</v>
      </c>
      <c r="C24">
        <v>10</v>
      </c>
      <c r="D24">
        <v>22</v>
      </c>
      <c r="E24">
        <v>13.350000000000001</v>
      </c>
      <c r="F24">
        <v>3</v>
      </c>
      <c r="G24">
        <v>0.70920799999999995</v>
      </c>
      <c r="H24">
        <v>7.996018666498121</v>
      </c>
      <c r="I24">
        <v>2.6</v>
      </c>
      <c r="J24">
        <v>0.76869358641382768</v>
      </c>
      <c r="K24">
        <v>1.7573452741963012</v>
      </c>
      <c r="L24">
        <v>1.3508600413893461</v>
      </c>
      <c r="M24">
        <v>2.7636971716031749</v>
      </c>
      <c r="N24">
        <v>2.581703007456968</v>
      </c>
      <c r="O24">
        <v>2.4132353594347631</v>
      </c>
      <c r="P24">
        <v>2.2669717876111899</v>
      </c>
      <c r="Q24">
        <v>2.1282070484022757</v>
      </c>
      <c r="R24">
        <v>1.9996488345958148</v>
      </c>
      <c r="S24">
        <v>1.8903468650755468</v>
      </c>
      <c r="T24">
        <v>1.7881803166746089</v>
      </c>
      <c r="U24">
        <v>1.6900918223407317</v>
      </c>
      <c r="V24">
        <v>1.5854168654415286</v>
      </c>
      <c r="W24">
        <v>1.4837563638996345</v>
      </c>
      <c r="X24">
        <v>1.3962496484763582</v>
      </c>
      <c r="Y24">
        <v>1.3196834555454315</v>
      </c>
      <c r="Z24">
        <v>1.2495036205201149</v>
      </c>
      <c r="AA24">
        <v>1.1805258875696738</v>
      </c>
      <c r="AB24">
        <v>1.1135918685239743</v>
      </c>
      <c r="AC24">
        <v>1.0520724760959117</v>
      </c>
      <c r="AD24">
        <v>0.99803920414164837</v>
      </c>
      <c r="AE24">
        <v>0.94800247747515043</v>
      </c>
      <c r="AF24">
        <v>0.90200650732394405</v>
      </c>
      <c r="AG24">
        <v>0.86137906557448685</v>
      </c>
      <c r="AH24">
        <v>0.82324238812922235</v>
      </c>
      <c r="AI24">
        <v>0.7889463774527572</v>
      </c>
      <c r="AJ24">
        <v>0.7559586309800036</v>
      </c>
      <c r="AK24">
        <v>0.72095292968863844</v>
      </c>
      <c r="AL24">
        <v>0.6887215546498705</v>
      </c>
      <c r="AM24">
        <v>0.66085782121095848</v>
      </c>
      <c r="AN24">
        <v>0.63487997174758271</v>
      </c>
      <c r="AO24">
        <v>0.61179523566722793</v>
      </c>
      <c r="AP24">
        <v>0.59129057517175154</v>
      </c>
      <c r="AQ24">
        <v>0.57135299179177745</v>
      </c>
      <c r="AR24">
        <v>0.55460054177696905</v>
      </c>
      <c r="AS24">
        <v>0.53131856145689083</v>
      </c>
      <c r="AT24">
        <v>0.51618244475897179</v>
      </c>
      <c r="AU24">
        <v>0.50477627498712463</v>
      </c>
      <c r="AV24">
        <v>0.49964289581976684</v>
      </c>
      <c r="AW24">
        <v>0.50436669051940708</v>
      </c>
      <c r="AX24">
        <v>0.52036580082703832</v>
      </c>
      <c r="AY24">
        <v>0.54146818934973884</v>
      </c>
      <c r="AZ24">
        <v>0.57072412614416912</v>
      </c>
      <c r="BA24">
        <v>0.62824029265201742</v>
      </c>
      <c r="BB24">
        <v>0.66158312555900678</v>
      </c>
      <c r="BC24">
        <v>0.66884427463762441</v>
      </c>
      <c r="BD24">
        <v>0.67000368648510544</v>
      </c>
      <c r="BE24">
        <v>0.67580512547832916</v>
      </c>
      <c r="BF24">
        <v>0.67922605049147899</v>
      </c>
      <c r="BG24">
        <v>0.68314367345254312</v>
      </c>
      <c r="BH24">
        <v>0.68961612604768363</v>
      </c>
      <c r="BI24">
        <v>0.69353883263797977</v>
      </c>
      <c r="BJ24">
        <v>0.70481167704575931</v>
      </c>
      <c r="BK24">
        <v>0.72042894341883867</v>
      </c>
      <c r="BL24">
        <v>0.76313975807678414</v>
      </c>
      <c r="BM24">
        <v>0.83238720251294507</v>
      </c>
      <c r="BN24">
        <v>0.88723406510725045</v>
      </c>
      <c r="BO24">
        <v>0.92830086386871524</v>
      </c>
      <c r="BP24">
        <v>0.9451180551554943</v>
      </c>
      <c r="BQ24">
        <v>0.9445960325643119</v>
      </c>
      <c r="BR24">
        <v>0.92383505087832052</v>
      </c>
      <c r="BS24">
        <v>0.90644950039842842</v>
      </c>
      <c r="BT24">
        <v>0.91773170090716438</v>
      </c>
      <c r="BU24">
        <v>0.9698915760638962</v>
      </c>
      <c r="BV24">
        <v>1.0551567882330204</v>
      </c>
      <c r="BW24">
        <v>1.1942051889515632</v>
      </c>
      <c r="BX24">
        <v>1.4099826243223761</v>
      </c>
    </row>
    <row r="25" spans="1:76">
      <c r="A25" t="s">
        <v>195</v>
      </c>
      <c r="B25">
        <v>2008</v>
      </c>
      <c r="C25">
        <v>10</v>
      </c>
      <c r="D25">
        <v>22</v>
      </c>
      <c r="E25">
        <v>14.549999999999999</v>
      </c>
      <c r="F25">
        <v>3</v>
      </c>
      <c r="G25">
        <v>0.45203300000000002</v>
      </c>
      <c r="H25">
        <v>10.600986225990786</v>
      </c>
      <c r="I25">
        <v>3.7</v>
      </c>
      <c r="J25">
        <v>0.89242290780386202</v>
      </c>
      <c r="K25">
        <v>1.2211936687102662</v>
      </c>
      <c r="L25">
        <v>1.0898212048220819</v>
      </c>
      <c r="M25">
        <v>2.4712061919961554</v>
      </c>
      <c r="N25">
        <v>2.3424256129698762</v>
      </c>
      <c r="O25">
        <v>2.2211157614069341</v>
      </c>
      <c r="P25">
        <v>2.1193190970033156</v>
      </c>
      <c r="Q25">
        <v>2.0190963014157832</v>
      </c>
      <c r="R25">
        <v>1.9246638367985456</v>
      </c>
      <c r="S25">
        <v>1.8483005444729315</v>
      </c>
      <c r="T25">
        <v>1.7750897842711242</v>
      </c>
      <c r="U25">
        <v>1.7015311739415653</v>
      </c>
      <c r="V25">
        <v>1.614636851434462</v>
      </c>
      <c r="W25">
        <v>1.5270211161266953</v>
      </c>
      <c r="X25">
        <v>1.4538132603430354</v>
      </c>
      <c r="Y25">
        <v>1.3909818303425014</v>
      </c>
      <c r="Z25">
        <v>1.332951039577392</v>
      </c>
      <c r="AA25">
        <v>1.2734112561213182</v>
      </c>
      <c r="AB25">
        <v>1.2136398872648864</v>
      </c>
      <c r="AC25">
        <v>1.1581614771763855</v>
      </c>
      <c r="AD25">
        <v>1.1101069209013747</v>
      </c>
      <c r="AE25">
        <v>1.0649788638100479</v>
      </c>
      <c r="AF25">
        <v>1.0228802698453563</v>
      </c>
      <c r="AG25">
        <v>0.98574078572122592</v>
      </c>
      <c r="AH25">
        <v>0.94969775379319499</v>
      </c>
      <c r="AI25">
        <v>0.9167008727010193</v>
      </c>
      <c r="AJ25">
        <v>0.88403928472003535</v>
      </c>
      <c r="AK25">
        <v>0.84934059418339092</v>
      </c>
      <c r="AL25">
        <v>0.81731693876578215</v>
      </c>
      <c r="AM25">
        <v>0.7897018754198224</v>
      </c>
      <c r="AN25">
        <v>0.7636044295405654</v>
      </c>
      <c r="AO25">
        <v>0.74033710401645125</v>
      </c>
      <c r="AP25">
        <v>0.7192676461807298</v>
      </c>
      <c r="AQ25">
        <v>0.69777334800756752</v>
      </c>
      <c r="AR25">
        <v>0.68045345726024797</v>
      </c>
      <c r="AS25">
        <v>0.65443813460802014</v>
      </c>
      <c r="AT25">
        <v>0.63842655752703359</v>
      </c>
      <c r="AU25">
        <v>0.62585016365945534</v>
      </c>
      <c r="AV25">
        <v>0.62020443628982957</v>
      </c>
      <c r="AW25">
        <v>0.62542159517809592</v>
      </c>
      <c r="AX25">
        <v>0.64233488968554475</v>
      </c>
      <c r="AY25">
        <v>0.66407205030663619</v>
      </c>
      <c r="AZ25">
        <v>0.69391360927670243</v>
      </c>
      <c r="BA25">
        <v>0.75291379391257096</v>
      </c>
      <c r="BB25">
        <v>0.78724336559982677</v>
      </c>
      <c r="BC25">
        <v>0.79520580077620884</v>
      </c>
      <c r="BD25">
        <v>0.79673432021326662</v>
      </c>
      <c r="BE25">
        <v>0.80278459901432242</v>
      </c>
      <c r="BF25">
        <v>0.80559748578053814</v>
      </c>
      <c r="BG25">
        <v>0.80882879746334435</v>
      </c>
      <c r="BH25">
        <v>0.81479963012717027</v>
      </c>
      <c r="BI25">
        <v>0.81741527191898733</v>
      </c>
      <c r="BJ25">
        <v>0.82796007692286577</v>
      </c>
      <c r="BK25">
        <v>0.84373092433369878</v>
      </c>
      <c r="BL25">
        <v>0.88944460634988087</v>
      </c>
      <c r="BM25">
        <v>0.9666273989230223</v>
      </c>
      <c r="BN25">
        <v>1.0310396905271078</v>
      </c>
      <c r="BO25">
        <v>1.08040054243733</v>
      </c>
      <c r="BP25">
        <v>1.0991305843675518</v>
      </c>
      <c r="BQ25">
        <v>1.0934486399381842</v>
      </c>
      <c r="BR25">
        <v>1.0607717186332886</v>
      </c>
      <c r="BS25">
        <v>1.029795225389917</v>
      </c>
      <c r="BT25">
        <v>1.0316137397452578</v>
      </c>
      <c r="BU25">
        <v>1.0792340196227315</v>
      </c>
      <c r="BV25">
        <v>1.1647470151309878</v>
      </c>
      <c r="BW25">
        <v>1.30653793409514</v>
      </c>
      <c r="BX25">
        <v>1.5298642226762122</v>
      </c>
    </row>
    <row r="26" spans="1:76">
      <c r="A26" t="s">
        <v>184</v>
      </c>
      <c r="B26">
        <v>2008</v>
      </c>
      <c r="C26">
        <v>8</v>
      </c>
      <c r="D26">
        <v>5</v>
      </c>
      <c r="E26">
        <v>8.9666666666666668</v>
      </c>
      <c r="F26">
        <v>3</v>
      </c>
      <c r="G26">
        <v>1.511776</v>
      </c>
      <c r="H26">
        <v>9.9843442634377464</v>
      </c>
      <c r="I26">
        <v>2.5</v>
      </c>
      <c r="J26">
        <v>0.85630844574904286</v>
      </c>
      <c r="K26">
        <v>1.8066002774698686</v>
      </c>
      <c r="L26">
        <v>1.5470070756900127</v>
      </c>
      <c r="M26">
        <v>4.8256481653271557</v>
      </c>
      <c r="N26">
        <v>4.4574920222427021</v>
      </c>
      <c r="O26">
        <v>4.1195019611647909</v>
      </c>
      <c r="P26">
        <v>3.820316320966449</v>
      </c>
      <c r="Q26">
        <v>3.5418764663845801</v>
      </c>
      <c r="R26">
        <v>3.2861874654126484</v>
      </c>
      <c r="S26">
        <v>3.0626311955924113</v>
      </c>
      <c r="T26">
        <v>2.8563703022425395</v>
      </c>
      <c r="U26">
        <v>2.662959181683997</v>
      </c>
      <c r="V26">
        <v>2.4695295597040112</v>
      </c>
      <c r="W26">
        <v>2.2863035275543933</v>
      </c>
      <c r="X26">
        <v>2.1257662649170017</v>
      </c>
      <c r="Y26">
        <v>1.9834500041872842</v>
      </c>
      <c r="Z26">
        <v>1.8535512693406713</v>
      </c>
      <c r="AA26">
        <v>1.7296708925431061</v>
      </c>
      <c r="AB26">
        <v>1.6123040092265208</v>
      </c>
      <c r="AC26">
        <v>1.5048962693854391</v>
      </c>
      <c r="AD26">
        <v>1.4096474701315085</v>
      </c>
      <c r="AE26">
        <v>1.3220718460912351</v>
      </c>
      <c r="AF26">
        <v>1.2418356192181961</v>
      </c>
      <c r="AG26">
        <v>1.170219308189224</v>
      </c>
      <c r="AH26">
        <v>1.1034531805236856</v>
      </c>
      <c r="AI26">
        <v>1.0429129554343688</v>
      </c>
      <c r="AJ26">
        <v>0.9858197689859225</v>
      </c>
      <c r="AK26">
        <v>0.92949818340306223</v>
      </c>
      <c r="AL26">
        <v>0.8781091269283906</v>
      </c>
      <c r="AM26">
        <v>0.83297602156759765</v>
      </c>
      <c r="AN26">
        <v>0.79131053880485036</v>
      </c>
      <c r="AO26">
        <v>0.75403918667095393</v>
      </c>
      <c r="AP26">
        <v>0.72045471997270494</v>
      </c>
      <c r="AQ26">
        <v>0.68815358610338651</v>
      </c>
      <c r="AR26">
        <v>0.66074505300767483</v>
      </c>
      <c r="AS26">
        <v>0.62714068500598164</v>
      </c>
      <c r="AT26">
        <v>0.60323662904964936</v>
      </c>
      <c r="AU26">
        <v>0.58344878689794288</v>
      </c>
      <c r="AV26">
        <v>0.57063437431502639</v>
      </c>
      <c r="AW26">
        <v>0.56824991081588772</v>
      </c>
      <c r="AX26">
        <v>0.57726740908253948</v>
      </c>
      <c r="AY26">
        <v>0.59164653651636723</v>
      </c>
      <c r="AZ26">
        <v>0.61436610288292415</v>
      </c>
      <c r="BA26">
        <v>0.66491871657309709</v>
      </c>
      <c r="BB26">
        <v>0.69330226088689795</v>
      </c>
      <c r="BC26">
        <v>0.69751667156850927</v>
      </c>
      <c r="BD26">
        <v>0.69617484113886485</v>
      </c>
      <c r="BE26">
        <v>0.69948765801494384</v>
      </c>
      <c r="BF26">
        <v>0.70028543458806136</v>
      </c>
      <c r="BG26">
        <v>0.70180118692759286</v>
      </c>
      <c r="BH26">
        <v>0.70613526161138618</v>
      </c>
      <c r="BI26">
        <v>0.707738781847711</v>
      </c>
      <c r="BJ26">
        <v>0.71692498229353085</v>
      </c>
      <c r="BK26">
        <v>0.73105557141689292</v>
      </c>
      <c r="BL26">
        <v>0.77300329510691446</v>
      </c>
      <c r="BM26">
        <v>0.84377532636241814</v>
      </c>
      <c r="BN26">
        <v>0.90230525564666242</v>
      </c>
      <c r="BO26">
        <v>0.94703882653492211</v>
      </c>
      <c r="BP26">
        <v>0.96436573898065303</v>
      </c>
      <c r="BQ26">
        <v>0.96031066601181714</v>
      </c>
      <c r="BR26">
        <v>0.93235552955707757</v>
      </c>
      <c r="BS26">
        <v>0.90647441687566166</v>
      </c>
      <c r="BT26">
        <v>0.91075268940176257</v>
      </c>
      <c r="BU26">
        <v>0.95730240026040136</v>
      </c>
      <c r="BV26">
        <v>1.0386749040406638</v>
      </c>
      <c r="BW26">
        <v>1.1727640872642959</v>
      </c>
      <c r="BX26">
        <v>1.3829275107009866</v>
      </c>
    </row>
    <row r="27" spans="1:76">
      <c r="A27" t="s">
        <v>185</v>
      </c>
      <c r="B27">
        <v>2008</v>
      </c>
      <c r="C27">
        <v>8</v>
      </c>
      <c r="D27">
        <v>5</v>
      </c>
      <c r="E27">
        <v>9.2666666666666675</v>
      </c>
      <c r="F27">
        <v>3</v>
      </c>
      <c r="G27">
        <v>0.69000499999999998</v>
      </c>
      <c r="H27">
        <v>14.619868583805394</v>
      </c>
      <c r="I27">
        <v>5.2</v>
      </c>
      <c r="J27">
        <v>1.0662794044887605</v>
      </c>
      <c r="K27">
        <v>0.86968021344151092</v>
      </c>
      <c r="L27">
        <v>0.92732210008407234</v>
      </c>
      <c r="M27">
        <v>3.3364033667971285</v>
      </c>
      <c r="N27">
        <v>3.1557939762791669</v>
      </c>
      <c r="O27">
        <v>2.9863446915595722</v>
      </c>
      <c r="P27">
        <v>2.8418329200182604</v>
      </c>
      <c r="Q27">
        <v>2.7013132580990158</v>
      </c>
      <c r="R27">
        <v>2.5695050370025787</v>
      </c>
      <c r="S27">
        <v>2.4604718700360579</v>
      </c>
      <c r="T27">
        <v>2.3567537273913328</v>
      </c>
      <c r="U27">
        <v>2.2539993197397759</v>
      </c>
      <c r="V27">
        <v>2.1372262539883331</v>
      </c>
      <c r="W27">
        <v>2.0207666016322756</v>
      </c>
      <c r="X27">
        <v>1.9225269536018819</v>
      </c>
      <c r="Y27">
        <v>1.8374229638898156</v>
      </c>
      <c r="Z27">
        <v>1.7588116018682183</v>
      </c>
      <c r="AA27">
        <v>1.6793265702603075</v>
      </c>
      <c r="AB27">
        <v>1.6003124938299154</v>
      </c>
      <c r="AC27">
        <v>1.5268798200376297</v>
      </c>
      <c r="AD27">
        <v>1.462840684771255</v>
      </c>
      <c r="AE27">
        <v>1.4026845129452532</v>
      </c>
      <c r="AF27">
        <v>1.3463394410406557</v>
      </c>
      <c r="AG27">
        <v>1.296010847205463</v>
      </c>
      <c r="AH27">
        <v>1.2468391789741358</v>
      </c>
      <c r="AI27">
        <v>1.201114327959951</v>
      </c>
      <c r="AJ27">
        <v>1.1561357591839641</v>
      </c>
      <c r="AK27">
        <v>1.111019777466685</v>
      </c>
      <c r="AL27">
        <v>1.0694904710520086</v>
      </c>
      <c r="AM27">
        <v>1.0330324891048468</v>
      </c>
      <c r="AN27">
        <v>0.99855377816775182</v>
      </c>
      <c r="AO27">
        <v>0.96741753191531554</v>
      </c>
      <c r="AP27">
        <v>0.93853874882068955</v>
      </c>
      <c r="AQ27">
        <v>0.90884916200202814</v>
      </c>
      <c r="AR27">
        <v>0.88474189544630066</v>
      </c>
      <c r="AS27">
        <v>0.85125362700156804</v>
      </c>
      <c r="AT27">
        <v>0.82915885724267313</v>
      </c>
      <c r="AU27">
        <v>0.81008656181762118</v>
      </c>
      <c r="AV27">
        <v>0.79817229782019827</v>
      </c>
      <c r="AW27">
        <v>0.79717734875526292</v>
      </c>
      <c r="AX27">
        <v>0.80711546575506077</v>
      </c>
      <c r="AY27">
        <v>0.82134687708597443</v>
      </c>
      <c r="AZ27">
        <v>0.84295706451670183</v>
      </c>
      <c r="BA27">
        <v>0.89124789615348821</v>
      </c>
      <c r="BB27">
        <v>0.91828305552999723</v>
      </c>
      <c r="BC27">
        <v>0.92263995236066809</v>
      </c>
      <c r="BD27">
        <v>0.92128137907177099</v>
      </c>
      <c r="BE27">
        <v>0.92387958419755811</v>
      </c>
      <c r="BF27">
        <v>0.92274432526142913</v>
      </c>
      <c r="BG27">
        <v>0.92205365929396055</v>
      </c>
      <c r="BH27">
        <v>0.92414442799497498</v>
      </c>
      <c r="BI27">
        <v>0.92241091459828839</v>
      </c>
      <c r="BJ27">
        <v>0.92844759046050895</v>
      </c>
      <c r="BK27">
        <v>0.94031275852411311</v>
      </c>
      <c r="BL27">
        <v>0.98193477305361343</v>
      </c>
      <c r="BM27">
        <v>1.0574880924299608</v>
      </c>
      <c r="BN27">
        <v>1.1243783588509562</v>
      </c>
      <c r="BO27">
        <v>1.1766566600042387</v>
      </c>
      <c r="BP27">
        <v>1.1939342193719604</v>
      </c>
      <c r="BQ27">
        <v>1.1806403088733124</v>
      </c>
      <c r="BR27">
        <v>1.1349848828856244</v>
      </c>
      <c r="BS27">
        <v>1.0885775633895518</v>
      </c>
      <c r="BT27">
        <v>1.0760911694739641</v>
      </c>
      <c r="BU27">
        <v>1.1098192047210871</v>
      </c>
      <c r="BV27">
        <v>1.1827546634443988</v>
      </c>
      <c r="BW27">
        <v>1.3076342160464702</v>
      </c>
      <c r="BX27">
        <v>1.5093662116863193</v>
      </c>
    </row>
    <row r="28" spans="1:76">
      <c r="A28" t="s">
        <v>186</v>
      </c>
      <c r="B28">
        <v>2008</v>
      </c>
      <c r="C28">
        <v>8</v>
      </c>
      <c r="D28">
        <v>5</v>
      </c>
      <c r="E28">
        <v>9.3833333333333329</v>
      </c>
      <c r="F28">
        <v>3</v>
      </c>
      <c r="G28">
        <v>0.80160399999999998</v>
      </c>
      <c r="H28">
        <v>14.624124350651707</v>
      </c>
      <c r="I28">
        <v>3</v>
      </c>
      <c r="J28">
        <v>0.85025797461499308</v>
      </c>
      <c r="K28">
        <v>1.5284336916901933</v>
      </c>
      <c r="L28">
        <v>1.2995629350298206</v>
      </c>
      <c r="M28">
        <v>3.1024902970456627</v>
      </c>
      <c r="N28">
        <v>2.9092331937119122</v>
      </c>
      <c r="O28">
        <v>2.7290173803406854</v>
      </c>
      <c r="P28">
        <v>2.575337452498955</v>
      </c>
      <c r="Q28">
        <v>2.4271972179303076</v>
      </c>
      <c r="R28">
        <v>2.2891255201448732</v>
      </c>
      <c r="S28">
        <v>2.1749521403032754</v>
      </c>
      <c r="T28">
        <v>2.0671926387700559</v>
      </c>
      <c r="U28">
        <v>1.9614032024546055</v>
      </c>
      <c r="V28">
        <v>1.8425878431925757</v>
      </c>
      <c r="W28">
        <v>1.7248916740900622</v>
      </c>
      <c r="X28">
        <v>1.6260237185579818</v>
      </c>
      <c r="Y28">
        <v>1.5408519598933326</v>
      </c>
      <c r="Z28">
        <v>1.4627033273040138</v>
      </c>
      <c r="AA28">
        <v>1.384193120169573</v>
      </c>
      <c r="AB28">
        <v>1.3066008005475072</v>
      </c>
      <c r="AC28">
        <v>1.2349528386435966</v>
      </c>
      <c r="AD28">
        <v>1.1729916574410164</v>
      </c>
      <c r="AE28">
        <v>1.1151988592910751</v>
      </c>
      <c r="AF28">
        <v>1.0614663599731449</v>
      </c>
      <c r="AG28">
        <v>1.0139522017431892</v>
      </c>
      <c r="AH28">
        <v>0.96779635184321089</v>
      </c>
      <c r="AI28">
        <v>0.92524942894056905</v>
      </c>
      <c r="AJ28">
        <v>0.88360579368014291</v>
      </c>
      <c r="AK28">
        <v>0.84196880779897021</v>
      </c>
      <c r="AL28">
        <v>0.80402163507120228</v>
      </c>
      <c r="AM28">
        <v>0.77122413273954504</v>
      </c>
      <c r="AN28">
        <v>0.74049199373313446</v>
      </c>
      <c r="AO28">
        <v>0.71316700171734393</v>
      </c>
      <c r="AP28">
        <v>0.68816033082524386</v>
      </c>
      <c r="AQ28">
        <v>0.66242103685604969</v>
      </c>
      <c r="AR28">
        <v>0.64227978825793663</v>
      </c>
      <c r="AS28">
        <v>0.61291483549696424</v>
      </c>
      <c r="AT28">
        <v>0.59488037939891958</v>
      </c>
      <c r="AU28">
        <v>0.57987238072578839</v>
      </c>
      <c r="AV28">
        <v>0.57195110310619957</v>
      </c>
      <c r="AW28">
        <v>0.57479709530768708</v>
      </c>
      <c r="AX28">
        <v>0.58841336617647355</v>
      </c>
      <c r="AY28">
        <v>0.60626497340732044</v>
      </c>
      <c r="AZ28">
        <v>0.63140942251707477</v>
      </c>
      <c r="BA28">
        <v>0.68296805280808925</v>
      </c>
      <c r="BB28">
        <v>0.71354013771564562</v>
      </c>
      <c r="BC28">
        <v>0.72164948193752099</v>
      </c>
      <c r="BD28">
        <v>0.72408523208966435</v>
      </c>
      <c r="BE28">
        <v>0.73042994518662063</v>
      </c>
      <c r="BF28">
        <v>0.73306130155913007</v>
      </c>
      <c r="BG28">
        <v>0.73611999572051501</v>
      </c>
      <c r="BH28">
        <v>0.74192261410145866</v>
      </c>
      <c r="BI28">
        <v>0.74391946875004855</v>
      </c>
      <c r="BJ28">
        <v>0.75360832719404747</v>
      </c>
      <c r="BK28">
        <v>0.76906754170092106</v>
      </c>
      <c r="BL28">
        <v>0.81404799385343918</v>
      </c>
      <c r="BM28">
        <v>0.89273664646547068</v>
      </c>
      <c r="BN28">
        <v>0.96284363472799805</v>
      </c>
      <c r="BO28">
        <v>1.0184335238234967</v>
      </c>
      <c r="BP28">
        <v>1.0392343195785883</v>
      </c>
      <c r="BQ28">
        <v>1.0296422109267318</v>
      </c>
      <c r="BR28">
        <v>0.98788132344200563</v>
      </c>
      <c r="BS28">
        <v>0.9453620668233913</v>
      </c>
      <c r="BT28">
        <v>0.93653279423601432</v>
      </c>
      <c r="BU28">
        <v>0.97360611957707199</v>
      </c>
      <c r="BV28">
        <v>1.0496300426251117</v>
      </c>
      <c r="BW28">
        <v>1.1772613866794233</v>
      </c>
      <c r="BX28">
        <v>1.3812524621152273</v>
      </c>
    </row>
    <row r="29" spans="1:76">
      <c r="A29" t="s">
        <v>187</v>
      </c>
      <c r="B29">
        <v>2008</v>
      </c>
      <c r="C29">
        <v>8</v>
      </c>
      <c r="D29">
        <v>5</v>
      </c>
      <c r="E29">
        <v>9.6166666666666671</v>
      </c>
      <c r="F29">
        <v>3</v>
      </c>
      <c r="G29">
        <v>1.571512</v>
      </c>
      <c r="H29">
        <v>11.224312251582157</v>
      </c>
      <c r="I29">
        <v>2.4</v>
      </c>
      <c r="J29">
        <v>0.84147190120547377</v>
      </c>
      <c r="K29">
        <v>1.8799187598817553</v>
      </c>
      <c r="L29">
        <v>1.5818988129895371</v>
      </c>
      <c r="M29">
        <v>4.818021800167271</v>
      </c>
      <c r="N29">
        <v>4.4502782350448422</v>
      </c>
      <c r="O29">
        <v>4.1125240203692455</v>
      </c>
      <c r="P29">
        <v>3.8139915511909299</v>
      </c>
      <c r="Q29">
        <v>3.5358790647303127</v>
      </c>
      <c r="R29">
        <v>3.2804216931490804</v>
      </c>
      <c r="S29">
        <v>3.0575799431206079</v>
      </c>
      <c r="T29">
        <v>2.8518768876029328</v>
      </c>
      <c r="U29">
        <v>2.6586882844473902</v>
      </c>
      <c r="V29">
        <v>2.4646580496725563</v>
      </c>
      <c r="W29">
        <v>2.2805341871006379</v>
      </c>
      <c r="X29">
        <v>2.1196501601311697</v>
      </c>
      <c r="Y29">
        <v>1.9772751671430486</v>
      </c>
      <c r="Z29">
        <v>1.847343886516378</v>
      </c>
      <c r="AA29">
        <v>1.7231981988703104</v>
      </c>
      <c r="AB29">
        <v>1.6053821578328402</v>
      </c>
      <c r="AC29">
        <v>1.497532789806592</v>
      </c>
      <c r="AD29">
        <v>1.4020824684554682</v>
      </c>
      <c r="AE29">
        <v>1.3142745749162454</v>
      </c>
      <c r="AF29">
        <v>1.233745070029489</v>
      </c>
      <c r="AG29">
        <v>1.161879233472416</v>
      </c>
      <c r="AH29">
        <v>1.0946280127083023</v>
      </c>
      <c r="AI29">
        <v>1.0334914413006016</v>
      </c>
      <c r="AJ29">
        <v>0.97572573338136381</v>
      </c>
      <c r="AK29">
        <v>0.91915807406764582</v>
      </c>
      <c r="AL29">
        <v>0.86763294341533204</v>
      </c>
      <c r="AM29">
        <v>0.82241086927306672</v>
      </c>
      <c r="AN29">
        <v>0.78066189050955992</v>
      </c>
      <c r="AO29">
        <v>0.74334282408078556</v>
      </c>
      <c r="AP29">
        <v>0.70961675507016986</v>
      </c>
      <c r="AQ29">
        <v>0.67695236085490296</v>
      </c>
      <c r="AR29">
        <v>0.64953463576096959</v>
      </c>
      <c r="AS29">
        <v>0.61563300809522503</v>
      </c>
      <c r="AT29">
        <v>0.59178857467286239</v>
      </c>
      <c r="AU29">
        <v>0.57185661138121302</v>
      </c>
      <c r="AV29">
        <v>0.55888504549914308</v>
      </c>
      <c r="AW29">
        <v>0.55624991571702387</v>
      </c>
      <c r="AX29">
        <v>0.56463728417259618</v>
      </c>
      <c r="AY29">
        <v>0.57809671345428537</v>
      </c>
      <c r="AZ29">
        <v>0.59952535620925507</v>
      </c>
      <c r="BA29">
        <v>0.64771083471932211</v>
      </c>
      <c r="BB29">
        <v>0.67491375644456086</v>
      </c>
      <c r="BC29">
        <v>0.67927000394996606</v>
      </c>
      <c r="BD29">
        <v>0.67830732909086833</v>
      </c>
      <c r="BE29">
        <v>0.68174861214111793</v>
      </c>
      <c r="BF29">
        <v>0.68250443289216767</v>
      </c>
      <c r="BG29">
        <v>0.68395284577009918</v>
      </c>
      <c r="BH29">
        <v>0.68818481782988894</v>
      </c>
      <c r="BI29">
        <v>0.68953305640021001</v>
      </c>
      <c r="BJ29">
        <v>0.69833137830985348</v>
      </c>
      <c r="BK29">
        <v>0.71220869771488338</v>
      </c>
      <c r="BL29">
        <v>0.75360533265218255</v>
      </c>
      <c r="BM29">
        <v>0.8243839261549688</v>
      </c>
      <c r="BN29">
        <v>0.88433077470747123</v>
      </c>
      <c r="BO29">
        <v>0.93071633852729752</v>
      </c>
      <c r="BP29">
        <v>0.94848100389789947</v>
      </c>
      <c r="BQ29">
        <v>0.94302722285775475</v>
      </c>
      <c r="BR29">
        <v>0.91211414187483131</v>
      </c>
      <c r="BS29">
        <v>0.88245843135407842</v>
      </c>
      <c r="BT29">
        <v>0.88308511585770255</v>
      </c>
      <c r="BU29">
        <v>0.92578326946111444</v>
      </c>
      <c r="BV29">
        <v>1.0034546445389718</v>
      </c>
      <c r="BW29">
        <v>1.1320359806073159</v>
      </c>
      <c r="BX29">
        <v>1.3345950992440727</v>
      </c>
    </row>
    <row r="30" spans="1:76">
      <c r="A30" t="s">
        <v>188</v>
      </c>
      <c r="B30">
        <v>2008</v>
      </c>
      <c r="C30">
        <v>8</v>
      </c>
      <c r="D30">
        <v>5</v>
      </c>
      <c r="E30">
        <v>9.8999999999999986</v>
      </c>
      <c r="F30">
        <v>3</v>
      </c>
      <c r="G30">
        <v>0.67856799999999995</v>
      </c>
      <c r="H30">
        <v>18.838519271479889</v>
      </c>
      <c r="I30">
        <v>4.5999999999999996</v>
      </c>
      <c r="J30">
        <v>1.010918995584035</v>
      </c>
      <c r="K30">
        <v>0.99300407504744814</v>
      </c>
      <c r="L30">
        <v>1.00384668215782</v>
      </c>
      <c r="M30">
        <v>3.1449359774165435</v>
      </c>
      <c r="N30">
        <v>2.9788374382500691</v>
      </c>
      <c r="O30">
        <v>2.8220920460870942</v>
      </c>
      <c r="P30">
        <v>2.6909842538734199</v>
      </c>
      <c r="Q30">
        <v>2.5615996317892367</v>
      </c>
      <c r="R30">
        <v>2.4396670967214709</v>
      </c>
      <c r="S30">
        <v>2.3417027320787556</v>
      </c>
      <c r="T30">
        <v>2.2477012924212527</v>
      </c>
      <c r="U30">
        <v>2.1527077111939525</v>
      </c>
      <c r="V30">
        <v>2.0396974383089219</v>
      </c>
      <c r="W30">
        <v>1.9252983732865463</v>
      </c>
      <c r="X30">
        <v>1.8307341125387979</v>
      </c>
      <c r="Y30">
        <v>1.7500208939802313</v>
      </c>
      <c r="Z30">
        <v>1.6755224682472836</v>
      </c>
      <c r="AA30">
        <v>1.5988389533785017</v>
      </c>
      <c r="AB30">
        <v>1.5215710252881351</v>
      </c>
      <c r="AC30">
        <v>1.4496794663733508</v>
      </c>
      <c r="AD30">
        <v>1.3878472833559812</v>
      </c>
      <c r="AE30">
        <v>1.3295872350515965</v>
      </c>
      <c r="AF30">
        <v>1.2747781656258326</v>
      </c>
      <c r="AG30">
        <v>1.2260661382066043</v>
      </c>
      <c r="AH30">
        <v>1.1776255839983873</v>
      </c>
      <c r="AI30">
        <v>1.132223133071621</v>
      </c>
      <c r="AJ30">
        <v>1.0871136540838031</v>
      </c>
      <c r="AK30">
        <v>1.0426994138579215</v>
      </c>
      <c r="AL30">
        <v>1.0021193812681242</v>
      </c>
      <c r="AM30">
        <v>0.96680068099120131</v>
      </c>
      <c r="AN30">
        <v>0.93337792077815218</v>
      </c>
      <c r="AO30">
        <v>0.90339603159515325</v>
      </c>
      <c r="AP30">
        <v>0.87539201330758476</v>
      </c>
      <c r="AQ30">
        <v>0.84579427792680151</v>
      </c>
      <c r="AR30">
        <v>0.8228805798030524</v>
      </c>
      <c r="AS30">
        <v>0.7891579683855392</v>
      </c>
      <c r="AT30">
        <v>0.76831178918226573</v>
      </c>
      <c r="AU30">
        <v>0.75002269655737064</v>
      </c>
      <c r="AV30">
        <v>0.73917554476113256</v>
      </c>
      <c r="AW30">
        <v>0.73953835906753818</v>
      </c>
      <c r="AX30">
        <v>0.75037372038630057</v>
      </c>
      <c r="AY30">
        <v>0.76490746779285246</v>
      </c>
      <c r="AZ30">
        <v>0.78619957993355127</v>
      </c>
      <c r="BA30">
        <v>0.83283420810155429</v>
      </c>
      <c r="BB30">
        <v>0.86003500234555785</v>
      </c>
      <c r="BC30">
        <v>0.8666383923436789</v>
      </c>
      <c r="BD30">
        <v>0.86776218359015966</v>
      </c>
      <c r="BE30">
        <v>0.87237025166565751</v>
      </c>
      <c r="BF30">
        <v>0.87254616032350563</v>
      </c>
      <c r="BG30">
        <v>0.87308632038640721</v>
      </c>
      <c r="BH30">
        <v>0.87644002395480236</v>
      </c>
      <c r="BI30">
        <v>0.87532069013553793</v>
      </c>
      <c r="BJ30">
        <v>0.88203509511168976</v>
      </c>
      <c r="BK30">
        <v>0.89523265725771961</v>
      </c>
      <c r="BL30">
        <v>0.93911094555357311</v>
      </c>
      <c r="BM30">
        <v>1.0203028102827438</v>
      </c>
      <c r="BN30">
        <v>1.0959621005411191</v>
      </c>
      <c r="BO30">
        <v>1.1567601195648343</v>
      </c>
      <c r="BP30">
        <v>1.1773795205673467</v>
      </c>
      <c r="BQ30">
        <v>1.1608870302616774</v>
      </c>
      <c r="BR30">
        <v>1.1061027703757771</v>
      </c>
      <c r="BS30">
        <v>1.0483940451243745</v>
      </c>
      <c r="BT30">
        <v>1.0268689116909158</v>
      </c>
      <c r="BU30">
        <v>1.0536964214329509</v>
      </c>
      <c r="BV30">
        <v>1.1223781193928151</v>
      </c>
      <c r="BW30">
        <v>1.2413184591195427</v>
      </c>
      <c r="BX30">
        <v>1.4361164595074905</v>
      </c>
    </row>
    <row r="31" spans="1:76">
      <c r="A31" t="s">
        <v>196</v>
      </c>
      <c r="B31">
        <v>2008</v>
      </c>
      <c r="C31">
        <v>8</v>
      </c>
      <c r="D31">
        <v>5</v>
      </c>
      <c r="E31">
        <v>10.383333333333333</v>
      </c>
      <c r="F31">
        <v>3</v>
      </c>
      <c r="G31">
        <v>3.064546</v>
      </c>
      <c r="H31">
        <v>12.287941736560988</v>
      </c>
      <c r="I31">
        <v>3.5</v>
      </c>
      <c r="J31">
        <v>1.038591040936147</v>
      </c>
      <c r="K31">
        <v>1.2900255747006404</v>
      </c>
      <c r="L31">
        <v>1.3398090044625892</v>
      </c>
      <c r="M31">
        <v>8.5090357512389954</v>
      </c>
      <c r="N31">
        <v>7.8202345199653864</v>
      </c>
      <c r="O31">
        <v>7.1903911230035442</v>
      </c>
      <c r="P31">
        <v>6.6263839823077824</v>
      </c>
      <c r="Q31">
        <v>6.1066422927354331</v>
      </c>
      <c r="R31">
        <v>5.6313288096482923</v>
      </c>
      <c r="S31">
        <v>5.2086976526969737</v>
      </c>
      <c r="T31">
        <v>4.8211505049189824</v>
      </c>
      <c r="U31">
        <v>4.4623202745039903</v>
      </c>
      <c r="V31">
        <v>4.1171407502597983</v>
      </c>
      <c r="W31">
        <v>3.7952433492747719</v>
      </c>
      <c r="X31">
        <v>3.5091873452102442</v>
      </c>
      <c r="Y31">
        <v>3.252965723015941</v>
      </c>
      <c r="Z31">
        <v>3.0193592461811765</v>
      </c>
      <c r="AA31">
        <v>2.8006602035138455</v>
      </c>
      <c r="AB31">
        <v>2.5965917519093749</v>
      </c>
      <c r="AC31">
        <v>2.4101137191495199</v>
      </c>
      <c r="AD31">
        <v>2.2431012072914078</v>
      </c>
      <c r="AE31">
        <v>2.0900126018194349</v>
      </c>
      <c r="AF31">
        <v>1.949886127089121</v>
      </c>
      <c r="AG31">
        <v>1.8236404794234211</v>
      </c>
      <c r="AH31">
        <v>1.7065859240052481</v>
      </c>
      <c r="AI31">
        <v>1.5998656475106552</v>
      </c>
      <c r="AJ31">
        <v>1.5004090193592958</v>
      </c>
      <c r="AK31">
        <v>1.4061050494829657</v>
      </c>
      <c r="AL31">
        <v>1.320178901405233</v>
      </c>
      <c r="AM31">
        <v>1.2435263914352204</v>
      </c>
      <c r="AN31">
        <v>1.173061379171187</v>
      </c>
      <c r="AO31">
        <v>1.109496338676025</v>
      </c>
      <c r="AP31">
        <v>1.0516763927017323</v>
      </c>
      <c r="AQ31">
        <v>0.99682049148040086</v>
      </c>
      <c r="AR31">
        <v>0.94926135628789754</v>
      </c>
      <c r="AS31">
        <v>0.89691041170077246</v>
      </c>
      <c r="AT31">
        <v>0.85618096368544405</v>
      </c>
      <c r="AU31">
        <v>0.8205000601414103</v>
      </c>
      <c r="AV31">
        <v>0.79281124688923699</v>
      </c>
      <c r="AW31">
        <v>0.77620254965154112</v>
      </c>
      <c r="AX31">
        <v>0.77106969594911612</v>
      </c>
      <c r="AY31">
        <v>0.77167152338377443</v>
      </c>
      <c r="AZ31">
        <v>0.78072689148308949</v>
      </c>
      <c r="BA31">
        <v>0.8161065032289494</v>
      </c>
      <c r="BB31">
        <v>0.83264467557972366</v>
      </c>
      <c r="BC31">
        <v>0.8284169119155258</v>
      </c>
      <c r="BD31">
        <v>0.81974237478906042</v>
      </c>
      <c r="BE31">
        <v>0.81576357062932825</v>
      </c>
      <c r="BF31">
        <v>0.80951102410764031</v>
      </c>
      <c r="BG31">
        <v>0.80437833384577029</v>
      </c>
      <c r="BH31">
        <v>0.80237995372682414</v>
      </c>
      <c r="BI31">
        <v>0.79779939370396358</v>
      </c>
      <c r="BJ31">
        <v>0.80081313711840485</v>
      </c>
      <c r="BK31">
        <v>0.80925809441439822</v>
      </c>
      <c r="BL31">
        <v>0.8449165977519143</v>
      </c>
      <c r="BM31">
        <v>0.9102635405676005</v>
      </c>
      <c r="BN31">
        <v>0.96624588530501165</v>
      </c>
      <c r="BO31">
        <v>1.0092400783976418</v>
      </c>
      <c r="BP31">
        <v>1.0232490538328272</v>
      </c>
      <c r="BQ31">
        <v>1.0131090672548806</v>
      </c>
      <c r="BR31">
        <v>0.97680704183627687</v>
      </c>
      <c r="BS31">
        <v>0.94126246500573252</v>
      </c>
      <c r="BT31">
        <v>0.93582983070690473</v>
      </c>
      <c r="BU31">
        <v>0.97188296098753657</v>
      </c>
      <c r="BV31">
        <v>1.042672612765613</v>
      </c>
      <c r="BW31">
        <v>1.1624059853581732</v>
      </c>
      <c r="BX31">
        <v>1.3536128087003871</v>
      </c>
    </row>
    <row r="32" spans="1:76">
      <c r="A32" t="s">
        <v>197</v>
      </c>
      <c r="B32">
        <v>2008</v>
      </c>
      <c r="C32">
        <v>8</v>
      </c>
      <c r="D32">
        <v>5</v>
      </c>
      <c r="E32">
        <v>11.483333333333333</v>
      </c>
      <c r="F32">
        <v>3</v>
      </c>
      <c r="G32">
        <v>0.73972400000000005</v>
      </c>
      <c r="H32">
        <v>13.761653337091223</v>
      </c>
      <c r="I32">
        <v>3.3</v>
      </c>
      <c r="J32">
        <v>0.81666340596132214</v>
      </c>
      <c r="K32">
        <v>1.4013299106857025</v>
      </c>
      <c r="L32">
        <v>1.1444148577360611</v>
      </c>
      <c r="M32">
        <v>2.7383879573238108</v>
      </c>
      <c r="N32">
        <v>2.5751342123565508</v>
      </c>
      <c r="O32">
        <v>2.4226844836623918</v>
      </c>
      <c r="P32">
        <v>2.2927157319134581</v>
      </c>
      <c r="Q32">
        <v>2.1671545416983853</v>
      </c>
      <c r="R32">
        <v>2.0499482879133999</v>
      </c>
      <c r="S32">
        <v>1.9530329710387329</v>
      </c>
      <c r="T32">
        <v>1.8613737153396042</v>
      </c>
      <c r="U32">
        <v>1.7711899838187946</v>
      </c>
      <c r="V32">
        <v>1.6695794586252095</v>
      </c>
      <c r="W32">
        <v>1.5687525205222776</v>
      </c>
      <c r="X32">
        <v>1.4839178380355562</v>
      </c>
      <c r="Y32">
        <v>1.4107168711369766</v>
      </c>
      <c r="Z32">
        <v>1.3434289582532959</v>
      </c>
      <c r="AA32">
        <v>1.2757016101939651</v>
      </c>
      <c r="AB32">
        <v>1.2086721819234738</v>
      </c>
      <c r="AC32">
        <v>1.1466802265233624</v>
      </c>
      <c r="AD32">
        <v>1.0929238334311464</v>
      </c>
      <c r="AE32">
        <v>1.0426928491482141</v>
      </c>
      <c r="AF32">
        <v>0.99593469478211816</v>
      </c>
      <c r="AG32">
        <v>0.9544999224633568</v>
      </c>
      <c r="AH32">
        <v>0.91424420772899717</v>
      </c>
      <c r="AI32">
        <v>0.87711323466231761</v>
      </c>
      <c r="AJ32">
        <v>0.84072232762221866</v>
      </c>
      <c r="AK32">
        <v>0.80401229134390972</v>
      </c>
      <c r="AL32">
        <v>0.77040846391896378</v>
      </c>
      <c r="AM32">
        <v>0.7412462087860282</v>
      </c>
      <c r="AN32">
        <v>0.71384011155929561</v>
      </c>
      <c r="AO32">
        <v>0.68935962137003959</v>
      </c>
      <c r="AP32">
        <v>0.66690478626197414</v>
      </c>
      <c r="AQ32">
        <v>0.64385250711671516</v>
      </c>
      <c r="AR32">
        <v>0.62554357737055999</v>
      </c>
      <c r="AS32">
        <v>0.59912245946386777</v>
      </c>
      <c r="AT32">
        <v>0.58254871571522626</v>
      </c>
      <c r="AU32">
        <v>0.56874035988826954</v>
      </c>
      <c r="AV32">
        <v>0.56122818390645191</v>
      </c>
      <c r="AW32">
        <v>0.56334061817551662</v>
      </c>
      <c r="AX32">
        <v>0.57520907753616601</v>
      </c>
      <c r="AY32">
        <v>0.59093987674623749</v>
      </c>
      <c r="AZ32">
        <v>0.61327604324281382</v>
      </c>
      <c r="BA32">
        <v>0.65948464343166324</v>
      </c>
      <c r="BB32">
        <v>0.68641869254352328</v>
      </c>
      <c r="BC32">
        <v>0.69278259861657632</v>
      </c>
      <c r="BD32">
        <v>0.69399500836703909</v>
      </c>
      <c r="BE32">
        <v>0.69877637012687788</v>
      </c>
      <c r="BF32">
        <v>0.70035279043276444</v>
      </c>
      <c r="BG32">
        <v>0.70230843954595956</v>
      </c>
      <c r="BH32">
        <v>0.70669429266803307</v>
      </c>
      <c r="BI32">
        <v>0.7077891828040761</v>
      </c>
      <c r="BJ32">
        <v>0.71574604572525924</v>
      </c>
      <c r="BK32">
        <v>0.7287162503480713</v>
      </c>
      <c r="BL32">
        <v>0.76784808955646588</v>
      </c>
      <c r="BM32">
        <v>0.8363996255943299</v>
      </c>
      <c r="BN32">
        <v>0.89666093962303572</v>
      </c>
      <c r="BO32">
        <v>0.94398985988300077</v>
      </c>
      <c r="BP32">
        <v>0.96125237600103597</v>
      </c>
      <c r="BQ32">
        <v>0.95265966479828534</v>
      </c>
      <c r="BR32">
        <v>0.91651628670164254</v>
      </c>
      <c r="BS32">
        <v>0.88011941138709249</v>
      </c>
      <c r="BT32">
        <v>0.87335868910314751</v>
      </c>
      <c r="BU32">
        <v>0.90716758810728515</v>
      </c>
      <c r="BV32">
        <v>0.975233058496765</v>
      </c>
      <c r="BW32">
        <v>1.0897180077569653</v>
      </c>
      <c r="BX32">
        <v>1.2725921990275457</v>
      </c>
    </row>
    <row r="33" spans="1:76">
      <c r="A33" t="s">
        <v>189</v>
      </c>
      <c r="B33">
        <v>2008</v>
      </c>
      <c r="C33">
        <v>8</v>
      </c>
      <c r="D33">
        <v>5</v>
      </c>
      <c r="E33">
        <v>12.133333333333333</v>
      </c>
      <c r="F33">
        <v>3</v>
      </c>
      <c r="G33">
        <v>0.72656299999999996</v>
      </c>
      <c r="H33">
        <v>14.964484114602634</v>
      </c>
      <c r="I33">
        <v>3.5</v>
      </c>
      <c r="J33">
        <v>0.84004302834514444</v>
      </c>
      <c r="K33">
        <v>1.3208829451951467</v>
      </c>
      <c r="L33">
        <v>1.1095985093711844</v>
      </c>
      <c r="M33">
        <v>2.7561760461057609</v>
      </c>
      <c r="N33">
        <v>2.596276017195053</v>
      </c>
      <c r="O33">
        <v>2.4466083956588136</v>
      </c>
      <c r="P33">
        <v>2.3196152407767441</v>
      </c>
      <c r="Q33">
        <v>2.196326668162599</v>
      </c>
      <c r="R33">
        <v>2.0810000464368739</v>
      </c>
      <c r="S33">
        <v>1.9863196478922445</v>
      </c>
      <c r="T33">
        <v>1.8964820916171901</v>
      </c>
      <c r="U33">
        <v>1.8075297510853465</v>
      </c>
      <c r="V33">
        <v>1.705938469203413</v>
      </c>
      <c r="W33">
        <v>1.6046216662298882</v>
      </c>
      <c r="X33">
        <v>1.519786426042796</v>
      </c>
      <c r="Y33">
        <v>1.4468094281886665</v>
      </c>
      <c r="Z33">
        <v>1.3796719966306199</v>
      </c>
      <c r="AA33">
        <v>1.3117088834254749</v>
      </c>
      <c r="AB33">
        <v>1.2441373062560432</v>
      </c>
      <c r="AC33">
        <v>1.1815574190679534</v>
      </c>
      <c r="AD33">
        <v>1.127426912393106</v>
      </c>
      <c r="AE33">
        <v>1.0767451430758241</v>
      </c>
      <c r="AF33">
        <v>1.0294474769553723</v>
      </c>
      <c r="AG33">
        <v>0.98751771902914554</v>
      </c>
      <c r="AH33">
        <v>0.94652632195540454</v>
      </c>
      <c r="AI33">
        <v>0.90856078102361704</v>
      </c>
      <c r="AJ33">
        <v>0.87121324675928247</v>
      </c>
      <c r="AK33">
        <v>0.83377770848460508</v>
      </c>
      <c r="AL33">
        <v>0.79953354457235704</v>
      </c>
      <c r="AM33">
        <v>0.76980606541327368</v>
      </c>
      <c r="AN33">
        <v>0.74182129149888731</v>
      </c>
      <c r="AO33">
        <v>0.71680464647467201</v>
      </c>
      <c r="AP33">
        <v>0.69374698759815079</v>
      </c>
      <c r="AQ33">
        <v>0.66987191057656248</v>
      </c>
      <c r="AR33">
        <v>0.65107070994239913</v>
      </c>
      <c r="AS33">
        <v>0.62371927141974948</v>
      </c>
      <c r="AT33">
        <v>0.60667842475687483</v>
      </c>
      <c r="AU33">
        <v>0.59228894505045027</v>
      </c>
      <c r="AV33">
        <v>0.58431346855252309</v>
      </c>
      <c r="AW33">
        <v>0.58610607715673846</v>
      </c>
      <c r="AX33">
        <v>0.59759255207716366</v>
      </c>
      <c r="AY33">
        <v>0.61280772856116172</v>
      </c>
      <c r="AZ33">
        <v>0.63450234975987196</v>
      </c>
      <c r="BA33">
        <v>0.67983726825341817</v>
      </c>
      <c r="BB33">
        <v>0.70629901653639171</v>
      </c>
      <c r="BC33">
        <v>0.71266170713879806</v>
      </c>
      <c r="BD33">
        <v>0.71391638314580597</v>
      </c>
      <c r="BE33">
        <v>0.71863371464813497</v>
      </c>
      <c r="BF33">
        <v>0.71994075216980957</v>
      </c>
      <c r="BG33">
        <v>0.72161196076122436</v>
      </c>
      <c r="BH33">
        <v>0.72574013622178901</v>
      </c>
      <c r="BI33">
        <v>0.72638495037711648</v>
      </c>
      <c r="BJ33">
        <v>0.73394961145764204</v>
      </c>
      <c r="BK33">
        <v>0.74673913177318541</v>
      </c>
      <c r="BL33">
        <v>0.78608524787890566</v>
      </c>
      <c r="BM33">
        <v>0.85593537685551402</v>
      </c>
      <c r="BN33">
        <v>0.91831722985283837</v>
      </c>
      <c r="BO33">
        <v>0.96763482923137512</v>
      </c>
      <c r="BP33">
        <v>0.98530819255933366</v>
      </c>
      <c r="BQ33">
        <v>0.97519251243403926</v>
      </c>
      <c r="BR33">
        <v>0.93575179191138247</v>
      </c>
      <c r="BS33">
        <v>0.89545779450147966</v>
      </c>
      <c r="BT33">
        <v>0.88557593098491005</v>
      </c>
      <c r="BU33">
        <v>0.91705961952905712</v>
      </c>
      <c r="BV33">
        <v>0.98370339062126422</v>
      </c>
      <c r="BW33">
        <v>1.096531229482006</v>
      </c>
      <c r="BX33">
        <v>1.2778121002078389</v>
      </c>
    </row>
    <row r="34" spans="1:76">
      <c r="A34" t="s">
        <v>190</v>
      </c>
      <c r="B34">
        <v>2008</v>
      </c>
      <c r="C34">
        <v>8</v>
      </c>
      <c r="D34">
        <v>5</v>
      </c>
      <c r="E34">
        <v>12.433333333333334</v>
      </c>
      <c r="F34">
        <v>3</v>
      </c>
      <c r="G34">
        <v>1.0393619999999999</v>
      </c>
      <c r="H34">
        <v>10.108494161088748</v>
      </c>
      <c r="I34">
        <v>3.5</v>
      </c>
      <c r="J34">
        <v>0.84604634771598553</v>
      </c>
      <c r="K34">
        <v>1.3210540878676802</v>
      </c>
      <c r="L34">
        <v>1.1176729861757235</v>
      </c>
      <c r="M34">
        <v>3.4184615796470696</v>
      </c>
      <c r="N34">
        <v>3.1883932090071188</v>
      </c>
      <c r="O34">
        <v>2.9759179192167484</v>
      </c>
      <c r="P34">
        <v>2.7895805155753628</v>
      </c>
      <c r="Q34">
        <v>2.6140902331439273</v>
      </c>
      <c r="R34">
        <v>2.4519449396113404</v>
      </c>
      <c r="S34">
        <v>2.312109707186893</v>
      </c>
      <c r="T34">
        <v>2.1819733378239783</v>
      </c>
      <c r="U34">
        <v>2.0581048090444249</v>
      </c>
      <c r="V34">
        <v>1.9295734425975071</v>
      </c>
      <c r="W34">
        <v>1.8058687406626797</v>
      </c>
      <c r="X34">
        <v>1.6984973392521403</v>
      </c>
      <c r="Y34">
        <v>1.6038347959981989</v>
      </c>
      <c r="Z34">
        <v>1.5170430266239185</v>
      </c>
      <c r="AA34">
        <v>1.4327276355216298</v>
      </c>
      <c r="AB34">
        <v>1.3516050392567434</v>
      </c>
      <c r="AC34">
        <v>1.2769642926190037</v>
      </c>
      <c r="AD34">
        <v>1.2109871650760748</v>
      </c>
      <c r="AE34">
        <v>1.1498748297028909</v>
      </c>
      <c r="AF34">
        <v>1.0935168083046982</v>
      </c>
      <c r="AG34">
        <v>1.0432031970964672</v>
      </c>
      <c r="AH34">
        <v>0.99570276944817104</v>
      </c>
      <c r="AI34">
        <v>0.95238916499503468</v>
      </c>
      <c r="AJ34">
        <v>0.91093281354027389</v>
      </c>
      <c r="AK34">
        <v>0.86909427024526831</v>
      </c>
      <c r="AL34">
        <v>0.83063379705001417</v>
      </c>
      <c r="AM34">
        <v>0.79682220377178659</v>
      </c>
      <c r="AN34">
        <v>0.76527163911659679</v>
      </c>
      <c r="AO34">
        <v>0.73688496384282676</v>
      </c>
      <c r="AP34">
        <v>0.71108673767289776</v>
      </c>
      <c r="AQ34">
        <v>0.68578412852503123</v>
      </c>
      <c r="AR34">
        <v>0.66435966551813441</v>
      </c>
      <c r="AS34">
        <v>0.63676477938595522</v>
      </c>
      <c r="AT34">
        <v>0.6175095505313275</v>
      </c>
      <c r="AU34">
        <v>0.60155385716124687</v>
      </c>
      <c r="AV34">
        <v>0.59157592802150927</v>
      </c>
      <c r="AW34">
        <v>0.59075140626841649</v>
      </c>
      <c r="AX34">
        <v>0.59990934664757223</v>
      </c>
      <c r="AY34">
        <v>0.61353304283088295</v>
      </c>
      <c r="AZ34">
        <v>0.63427620143524255</v>
      </c>
      <c r="BA34">
        <v>0.67943946742329864</v>
      </c>
      <c r="BB34">
        <v>0.70454731388853176</v>
      </c>
      <c r="BC34">
        <v>0.70804600111059623</v>
      </c>
      <c r="BD34">
        <v>0.70645813454146256</v>
      </c>
      <c r="BE34">
        <v>0.70883511640474395</v>
      </c>
      <c r="BF34">
        <v>0.70882484213860875</v>
      </c>
      <c r="BG34">
        <v>0.70932751635037872</v>
      </c>
      <c r="BH34">
        <v>0.71221791859107764</v>
      </c>
      <c r="BI34">
        <v>0.71256916716102681</v>
      </c>
      <c r="BJ34">
        <v>0.71955627833921709</v>
      </c>
      <c r="BK34">
        <v>0.73085361495831824</v>
      </c>
      <c r="BL34">
        <v>0.76666312538696846</v>
      </c>
      <c r="BM34">
        <v>0.82794240557343213</v>
      </c>
      <c r="BN34">
        <v>0.87844721677356818</v>
      </c>
      <c r="BO34">
        <v>0.91670052595849327</v>
      </c>
      <c r="BP34">
        <v>0.93053213122215883</v>
      </c>
      <c r="BQ34">
        <v>0.92523520751443955</v>
      </c>
      <c r="BR34">
        <v>0.89862484876687865</v>
      </c>
      <c r="BS34">
        <v>0.87373602654355642</v>
      </c>
      <c r="BT34">
        <v>0.8755050344806713</v>
      </c>
      <c r="BU34">
        <v>0.91461612419955751</v>
      </c>
      <c r="BV34">
        <v>0.98450791604772103</v>
      </c>
      <c r="BW34">
        <v>1.1008222891840056</v>
      </c>
      <c r="BX34">
        <v>1.2841904706436824</v>
      </c>
    </row>
    <row r="35" spans="1:76">
      <c r="A35" t="s">
        <v>191</v>
      </c>
      <c r="B35">
        <v>2008</v>
      </c>
      <c r="C35">
        <v>8</v>
      </c>
      <c r="D35">
        <v>5</v>
      </c>
      <c r="E35">
        <v>12.65</v>
      </c>
      <c r="F35">
        <v>3</v>
      </c>
      <c r="G35">
        <v>0.80612600000000001</v>
      </c>
      <c r="H35">
        <v>10.575667578351593</v>
      </c>
      <c r="I35">
        <v>2.6</v>
      </c>
      <c r="J35">
        <v>0.73684660407865632</v>
      </c>
      <c r="K35">
        <v>1.7788979739986737</v>
      </c>
      <c r="L35">
        <v>1.3107749311433246</v>
      </c>
      <c r="M35">
        <v>2.7121076331549783</v>
      </c>
      <c r="N35">
        <v>2.5347959237403206</v>
      </c>
      <c r="O35">
        <v>2.3703888786617244</v>
      </c>
      <c r="P35">
        <v>2.2282740190724688</v>
      </c>
      <c r="Q35">
        <v>2.0929808882645569</v>
      </c>
      <c r="R35">
        <v>1.967513002967058</v>
      </c>
      <c r="S35">
        <v>1.8615745833086517</v>
      </c>
      <c r="T35">
        <v>1.7623650240123263</v>
      </c>
      <c r="U35">
        <v>1.6665968971819984</v>
      </c>
      <c r="V35">
        <v>1.5631813881921677</v>
      </c>
      <c r="W35">
        <v>1.4622351085808496</v>
      </c>
      <c r="X35">
        <v>1.3760222763171259</v>
      </c>
      <c r="Y35">
        <v>1.300939457241842</v>
      </c>
      <c r="Z35">
        <v>1.2321258233006409</v>
      </c>
      <c r="AA35">
        <v>1.16413642164901</v>
      </c>
      <c r="AB35">
        <v>1.0978603950034196</v>
      </c>
      <c r="AC35">
        <v>1.0368575040053485</v>
      </c>
      <c r="AD35">
        <v>0.98355782715370932</v>
      </c>
      <c r="AE35">
        <v>0.93409138279843429</v>
      </c>
      <c r="AF35">
        <v>0.88843025154694599</v>
      </c>
      <c r="AG35">
        <v>0.84802536873077339</v>
      </c>
      <c r="AH35">
        <v>0.80955791102133845</v>
      </c>
      <c r="AI35">
        <v>0.77455259360175033</v>
      </c>
      <c r="AJ35">
        <v>0.74070090299682634</v>
      </c>
      <c r="AK35">
        <v>0.70594439275845189</v>
      </c>
      <c r="AL35">
        <v>0.67409200892635057</v>
      </c>
      <c r="AM35">
        <v>0.64649093081871922</v>
      </c>
      <c r="AN35">
        <v>0.62072221666676863</v>
      </c>
      <c r="AO35">
        <v>0.59778107068361397</v>
      </c>
      <c r="AP35">
        <v>0.57707872532789173</v>
      </c>
      <c r="AQ35">
        <v>0.556446986672961</v>
      </c>
      <c r="AR35">
        <v>0.5396124617728929</v>
      </c>
      <c r="AS35">
        <v>0.51601828257510296</v>
      </c>
      <c r="AT35">
        <v>0.50089038448849743</v>
      </c>
      <c r="AU35">
        <v>0.48884641911687193</v>
      </c>
      <c r="AV35">
        <v>0.48271907271905434</v>
      </c>
      <c r="AW35">
        <v>0.48572844485782762</v>
      </c>
      <c r="AX35">
        <v>0.49859343804628831</v>
      </c>
      <c r="AY35">
        <v>0.51568811643451851</v>
      </c>
      <c r="AZ35">
        <v>0.53971296511736611</v>
      </c>
      <c r="BA35">
        <v>0.58810843430112492</v>
      </c>
      <c r="BB35">
        <v>0.61627571071636345</v>
      </c>
      <c r="BC35">
        <v>0.62270486445012319</v>
      </c>
      <c r="BD35">
        <v>0.62390500117701442</v>
      </c>
      <c r="BE35">
        <v>0.62895688343603351</v>
      </c>
      <c r="BF35">
        <v>0.63141402597728291</v>
      </c>
      <c r="BG35">
        <v>0.63429625229543785</v>
      </c>
      <c r="BH35">
        <v>0.63952150381661865</v>
      </c>
      <c r="BI35">
        <v>0.64202742041919481</v>
      </c>
      <c r="BJ35">
        <v>0.65118969725244025</v>
      </c>
      <c r="BK35">
        <v>0.66473754431401377</v>
      </c>
      <c r="BL35">
        <v>0.70315922650599794</v>
      </c>
      <c r="BM35">
        <v>0.76774946108285169</v>
      </c>
      <c r="BN35">
        <v>0.82178790704823368</v>
      </c>
      <c r="BO35">
        <v>0.863354718913106</v>
      </c>
      <c r="BP35">
        <v>0.87951248296209328</v>
      </c>
      <c r="BQ35">
        <v>0.87545176893962873</v>
      </c>
      <c r="BR35">
        <v>0.84903754448582114</v>
      </c>
      <c r="BS35">
        <v>0.8240690536681734</v>
      </c>
      <c r="BT35">
        <v>0.82635209977727186</v>
      </c>
      <c r="BU35">
        <v>0.86669413932463812</v>
      </c>
      <c r="BV35">
        <v>0.93851995286591738</v>
      </c>
      <c r="BW35">
        <v>1.057135926184763</v>
      </c>
      <c r="BX35">
        <v>1.2435252225174864</v>
      </c>
    </row>
    <row r="36" spans="1:76">
      <c r="A36" t="s">
        <v>192</v>
      </c>
      <c r="B36">
        <v>2008</v>
      </c>
      <c r="C36">
        <v>8</v>
      </c>
      <c r="D36">
        <v>5</v>
      </c>
      <c r="E36">
        <v>12.933333333333334</v>
      </c>
      <c r="F36">
        <v>3</v>
      </c>
      <c r="G36">
        <v>1.081758</v>
      </c>
      <c r="H36">
        <v>13.306079048780084</v>
      </c>
      <c r="I36">
        <v>3</v>
      </c>
      <c r="J36">
        <v>0.83100816485045303</v>
      </c>
      <c r="K36">
        <v>1.5388469963780049</v>
      </c>
      <c r="L36">
        <v>1.2787944184457176</v>
      </c>
      <c r="M36">
        <v>3.5231731744034986</v>
      </c>
      <c r="N36">
        <v>3.2839189091759771</v>
      </c>
      <c r="O36">
        <v>3.0625196378308424</v>
      </c>
      <c r="P36">
        <v>2.8699770734571053</v>
      </c>
      <c r="Q36">
        <v>2.6876582751030478</v>
      </c>
      <c r="R36">
        <v>2.5189652232666861</v>
      </c>
      <c r="S36">
        <v>2.3753269781913819</v>
      </c>
      <c r="T36">
        <v>2.2412958500367788</v>
      </c>
      <c r="U36">
        <v>2.1127100044650073</v>
      </c>
      <c r="V36">
        <v>1.9763073167071679</v>
      </c>
      <c r="W36">
        <v>1.8439622973146772</v>
      </c>
      <c r="X36">
        <v>1.7305153825156947</v>
      </c>
      <c r="Y36">
        <v>1.6313698502322307</v>
      </c>
      <c r="Z36">
        <v>1.5405761309738719</v>
      </c>
      <c r="AA36">
        <v>1.451568085222019</v>
      </c>
      <c r="AB36">
        <v>1.3652834541986592</v>
      </c>
      <c r="AC36">
        <v>1.2858770233056647</v>
      </c>
      <c r="AD36">
        <v>1.2163512487603152</v>
      </c>
      <c r="AE36">
        <v>1.1518761765101622</v>
      </c>
      <c r="AF36">
        <v>1.0922730577625515</v>
      </c>
      <c r="AG36">
        <v>1.0392582506153123</v>
      </c>
      <c r="AH36">
        <v>0.98861914559900943</v>
      </c>
      <c r="AI36">
        <v>0.94218100674266259</v>
      </c>
      <c r="AJ36">
        <v>0.89743925518970347</v>
      </c>
      <c r="AK36">
        <v>0.85310649823709994</v>
      </c>
      <c r="AL36">
        <v>0.81264312638758418</v>
      </c>
      <c r="AM36">
        <v>0.77732723548096128</v>
      </c>
      <c r="AN36">
        <v>0.74440691405246096</v>
      </c>
      <c r="AO36">
        <v>0.71497834759845669</v>
      </c>
      <c r="AP36">
        <v>0.68811812374946268</v>
      </c>
      <c r="AQ36">
        <v>0.66119858864906178</v>
      </c>
      <c r="AR36">
        <v>0.63932342352610882</v>
      </c>
      <c r="AS36">
        <v>0.609861529383384</v>
      </c>
      <c r="AT36">
        <v>0.59042240695096815</v>
      </c>
      <c r="AU36">
        <v>0.57409427619969644</v>
      </c>
      <c r="AV36">
        <v>0.56429151152754908</v>
      </c>
      <c r="AW36">
        <v>0.56433485034274133</v>
      </c>
      <c r="AX36">
        <v>0.57447517402451775</v>
      </c>
      <c r="AY36">
        <v>0.58884409119428271</v>
      </c>
      <c r="AZ36">
        <v>0.61021157649025048</v>
      </c>
      <c r="BA36">
        <v>0.65616356791091546</v>
      </c>
      <c r="BB36">
        <v>0.68264263691411364</v>
      </c>
      <c r="BC36">
        <v>0.68817753954968452</v>
      </c>
      <c r="BD36">
        <v>0.68858377781523616</v>
      </c>
      <c r="BE36">
        <v>0.69278368487058928</v>
      </c>
      <c r="BF36">
        <v>0.6939083547753766</v>
      </c>
      <c r="BG36">
        <v>0.69552172282026148</v>
      </c>
      <c r="BH36">
        <v>0.6996882759366404</v>
      </c>
      <c r="BI36">
        <v>0.70065710946547322</v>
      </c>
      <c r="BJ36">
        <v>0.70866681819939725</v>
      </c>
      <c r="BK36">
        <v>0.72177045012354102</v>
      </c>
      <c r="BL36">
        <v>0.76146138011275999</v>
      </c>
      <c r="BM36">
        <v>0.83079487566621801</v>
      </c>
      <c r="BN36">
        <v>0.8914018816100826</v>
      </c>
      <c r="BO36">
        <v>0.93891573960088248</v>
      </c>
      <c r="BP36">
        <v>0.95642370511004082</v>
      </c>
      <c r="BQ36">
        <v>0.94835583656831401</v>
      </c>
      <c r="BR36">
        <v>0.91291376195439211</v>
      </c>
      <c r="BS36">
        <v>0.87748046770781274</v>
      </c>
      <c r="BT36">
        <v>0.87200083908478443</v>
      </c>
      <c r="BU36">
        <v>0.9076192223485644</v>
      </c>
      <c r="BV36">
        <v>0.97785225146136356</v>
      </c>
      <c r="BW36">
        <v>1.0955597717404981</v>
      </c>
      <c r="BX36">
        <v>1.2830363710099191</v>
      </c>
    </row>
    <row r="37" spans="1:76">
      <c r="A37" t="s">
        <v>193</v>
      </c>
      <c r="B37">
        <v>2008</v>
      </c>
      <c r="C37">
        <v>8</v>
      </c>
      <c r="D37">
        <v>5</v>
      </c>
      <c r="E37">
        <v>13.016666666666669</v>
      </c>
      <c r="F37">
        <v>3</v>
      </c>
      <c r="G37">
        <v>0.86342200000000002</v>
      </c>
      <c r="H37">
        <v>9.5457889119696144</v>
      </c>
      <c r="I37">
        <v>2.6</v>
      </c>
      <c r="J37">
        <v>0.74396515829893162</v>
      </c>
      <c r="K37">
        <v>1.7761133394688724</v>
      </c>
      <c r="L37">
        <v>1.3213664417548037</v>
      </c>
      <c r="M37">
        <v>2.8703934738135057</v>
      </c>
      <c r="N37">
        <v>2.677040064087715</v>
      </c>
      <c r="O37">
        <v>2.4982324927235764</v>
      </c>
      <c r="P37">
        <v>2.3426160343477678</v>
      </c>
      <c r="Q37">
        <v>2.1953663994019332</v>
      </c>
      <c r="R37">
        <v>2.0591415743656221</v>
      </c>
      <c r="S37">
        <v>1.942946956507356</v>
      </c>
      <c r="T37">
        <v>1.8345479676249423</v>
      </c>
      <c r="U37">
        <v>1.7307452298131769</v>
      </c>
      <c r="V37">
        <v>1.6208962234606714</v>
      </c>
      <c r="W37">
        <v>1.5144895878300577</v>
      </c>
      <c r="X37">
        <v>1.422892253486574</v>
      </c>
      <c r="Y37">
        <v>1.3426892060938902</v>
      </c>
      <c r="Z37">
        <v>1.2692302978266889</v>
      </c>
      <c r="AA37">
        <v>1.1972925861339307</v>
      </c>
      <c r="AB37">
        <v>1.1276682784427057</v>
      </c>
      <c r="AC37">
        <v>1.0636744754659124</v>
      </c>
      <c r="AD37">
        <v>1.0074871099905935</v>
      </c>
      <c r="AE37">
        <v>0.95546327334209358</v>
      </c>
      <c r="AF37">
        <v>0.9075675124984478</v>
      </c>
      <c r="AG37">
        <v>0.86511736649744608</v>
      </c>
      <c r="AH37">
        <v>0.82502917407220622</v>
      </c>
      <c r="AI37">
        <v>0.78868671402413271</v>
      </c>
      <c r="AJ37">
        <v>0.75376686552851946</v>
      </c>
      <c r="AK37">
        <v>0.71782703484981392</v>
      </c>
      <c r="AL37">
        <v>0.68484923661208319</v>
      </c>
      <c r="AM37">
        <v>0.656191275451807</v>
      </c>
      <c r="AN37">
        <v>0.62948882938472361</v>
      </c>
      <c r="AO37">
        <v>0.60568104364434083</v>
      </c>
      <c r="AP37">
        <v>0.5842755985609609</v>
      </c>
      <c r="AQ37">
        <v>0.56323164902048006</v>
      </c>
      <c r="AR37">
        <v>0.54574600040821819</v>
      </c>
      <c r="AS37">
        <v>0.52194099592180776</v>
      </c>
      <c r="AT37">
        <v>0.50625775072379064</v>
      </c>
      <c r="AU37">
        <v>0.49384508850964837</v>
      </c>
      <c r="AV37">
        <v>0.48732555991900961</v>
      </c>
      <c r="AW37">
        <v>0.48992569695314603</v>
      </c>
      <c r="AX37">
        <v>0.50258567728486414</v>
      </c>
      <c r="AY37">
        <v>0.51970128258667547</v>
      </c>
      <c r="AZ37">
        <v>0.54399194405194762</v>
      </c>
      <c r="BA37">
        <v>0.59319447921638169</v>
      </c>
      <c r="BB37">
        <v>0.62158509816962404</v>
      </c>
      <c r="BC37">
        <v>0.62755267631326861</v>
      </c>
      <c r="BD37">
        <v>0.62821217174868027</v>
      </c>
      <c r="BE37">
        <v>0.63289386244267665</v>
      </c>
      <c r="BF37">
        <v>0.63517597062803055</v>
      </c>
      <c r="BG37">
        <v>0.63792047647279815</v>
      </c>
      <c r="BH37">
        <v>0.64302382578887352</v>
      </c>
      <c r="BI37">
        <v>0.64558385209221281</v>
      </c>
      <c r="BJ37">
        <v>0.65483020590133589</v>
      </c>
      <c r="BK37">
        <v>0.66831289010302897</v>
      </c>
      <c r="BL37">
        <v>0.70657093204754351</v>
      </c>
      <c r="BM37">
        <v>0.77022049748682986</v>
      </c>
      <c r="BN37">
        <v>0.82238369973893455</v>
      </c>
      <c r="BO37">
        <v>0.86207418453040252</v>
      </c>
      <c r="BP37">
        <v>0.8776530708738659</v>
      </c>
      <c r="BQ37">
        <v>0.87472333168450978</v>
      </c>
      <c r="BR37">
        <v>0.85096465231032137</v>
      </c>
      <c r="BS37">
        <v>0.82927280136056958</v>
      </c>
      <c r="BT37">
        <v>0.83437075390891702</v>
      </c>
      <c r="BU37">
        <v>0.87716812078687401</v>
      </c>
      <c r="BV37">
        <v>0.95090736169938495</v>
      </c>
      <c r="BW37">
        <v>1.0722043348751578</v>
      </c>
      <c r="BX37">
        <v>1.2619800135378887</v>
      </c>
    </row>
    <row r="38" spans="1:76">
      <c r="A38" t="s">
        <v>198</v>
      </c>
      <c r="B38">
        <v>2008</v>
      </c>
      <c r="C38">
        <v>12</v>
      </c>
      <c r="D38">
        <v>7</v>
      </c>
      <c r="E38">
        <v>9.9333333333333336</v>
      </c>
      <c r="F38">
        <v>3</v>
      </c>
      <c r="G38">
        <v>0.45406999999999997</v>
      </c>
      <c r="H38">
        <v>8.6636458771055977</v>
      </c>
      <c r="I38">
        <v>10</v>
      </c>
      <c r="J38">
        <v>1.5221274326707259</v>
      </c>
      <c r="K38">
        <v>0.42649397215481383</v>
      </c>
      <c r="L38">
        <v>0.64917817488554685</v>
      </c>
      <c r="M38">
        <v>3.9155001631049928</v>
      </c>
      <c r="N38">
        <v>3.7478609371263487</v>
      </c>
      <c r="O38">
        <v>3.5896793242387846</v>
      </c>
      <c r="P38">
        <v>3.451044423601719</v>
      </c>
      <c r="Q38">
        <v>3.3163520751844109</v>
      </c>
      <c r="R38">
        <v>3.1890305861180019</v>
      </c>
      <c r="S38">
        <v>3.0794290678247456</v>
      </c>
      <c r="T38">
        <v>2.9746194441810827</v>
      </c>
      <c r="U38">
        <v>2.8715459336503741</v>
      </c>
      <c r="V38">
        <v>2.7588482617914867</v>
      </c>
      <c r="W38">
        <v>2.647301931209074</v>
      </c>
      <c r="X38">
        <v>2.5494912394722538</v>
      </c>
      <c r="Y38">
        <v>2.4620340763750068</v>
      </c>
      <c r="Z38">
        <v>2.3801100898886514</v>
      </c>
      <c r="AA38">
        <v>2.2982175036513768</v>
      </c>
      <c r="AB38">
        <v>2.2174195881341645</v>
      </c>
      <c r="AC38">
        <v>2.1415497839788635</v>
      </c>
      <c r="AD38">
        <v>2.0730710611512029</v>
      </c>
      <c r="AE38">
        <v>2.0082125077060784</v>
      </c>
      <c r="AF38">
        <v>1.947085798776397</v>
      </c>
      <c r="AG38">
        <v>1.8912465003418935</v>
      </c>
      <c r="AH38">
        <v>1.8375419749393886</v>
      </c>
      <c r="AI38">
        <v>1.7875301067410811</v>
      </c>
      <c r="AJ38">
        <v>1.7386143928891866</v>
      </c>
      <c r="AK38">
        <v>1.6877010498176159</v>
      </c>
      <c r="AL38">
        <v>1.6396475433296573</v>
      </c>
      <c r="AM38">
        <v>1.596097532511817</v>
      </c>
      <c r="AN38">
        <v>1.5544384814629995</v>
      </c>
      <c r="AO38">
        <v>1.5157587461096087</v>
      </c>
      <c r="AP38">
        <v>1.4796534290383736</v>
      </c>
      <c r="AQ38">
        <v>1.4439439252277806</v>
      </c>
      <c r="AR38">
        <v>1.411760985074991</v>
      </c>
      <c r="AS38">
        <v>1.3725522592237589</v>
      </c>
      <c r="AT38">
        <v>1.3420535898999006</v>
      </c>
      <c r="AU38">
        <v>1.3152980370392466</v>
      </c>
      <c r="AV38">
        <v>1.2951170007346979</v>
      </c>
      <c r="AW38">
        <v>1.2852941319037128</v>
      </c>
      <c r="AX38">
        <v>1.2872382124194055</v>
      </c>
      <c r="AY38">
        <v>1.2945778477421916</v>
      </c>
      <c r="AZ38">
        <v>1.3105038100338149</v>
      </c>
      <c r="BA38">
        <v>1.355864033366768</v>
      </c>
      <c r="BB38">
        <v>1.3765551909017479</v>
      </c>
      <c r="BC38">
        <v>1.3705935309257975</v>
      </c>
      <c r="BD38">
        <v>1.3584167505502851</v>
      </c>
      <c r="BE38">
        <v>1.3510953188680916</v>
      </c>
      <c r="BF38">
        <v>1.3412263159510744</v>
      </c>
      <c r="BG38">
        <v>1.3319623379409562</v>
      </c>
      <c r="BH38">
        <v>1.3254825036012945</v>
      </c>
      <c r="BI38">
        <v>1.3162791189684024</v>
      </c>
      <c r="BJ38">
        <v>1.3148780819238062</v>
      </c>
      <c r="BK38">
        <v>1.3182669302051606</v>
      </c>
      <c r="BL38">
        <v>1.3503035988062924</v>
      </c>
      <c r="BM38">
        <v>1.4108934133591526</v>
      </c>
      <c r="BN38">
        <v>1.4571827939540232</v>
      </c>
      <c r="BO38">
        <v>1.4890820719139704</v>
      </c>
      <c r="BP38">
        <v>1.4945425011008249</v>
      </c>
      <c r="BQ38">
        <v>1.4804602343862308</v>
      </c>
      <c r="BR38">
        <v>1.4439415752542499</v>
      </c>
      <c r="BS38">
        <v>1.4105015419251306</v>
      </c>
      <c r="BT38">
        <v>1.407568164870433</v>
      </c>
      <c r="BU38">
        <v>1.4478459800954915</v>
      </c>
      <c r="BV38">
        <v>1.5233165734267824</v>
      </c>
      <c r="BW38">
        <v>1.6545354828348953</v>
      </c>
      <c r="BX38">
        <v>1.8655929472040533</v>
      </c>
    </row>
    <row r="39" spans="1:76">
      <c r="A39" t="s">
        <v>199</v>
      </c>
      <c r="B39">
        <v>2008</v>
      </c>
      <c r="C39">
        <v>12</v>
      </c>
      <c r="D39">
        <v>7</v>
      </c>
      <c r="E39">
        <v>10.358333333333333</v>
      </c>
      <c r="F39">
        <v>3</v>
      </c>
      <c r="G39">
        <v>0.701712</v>
      </c>
      <c r="H39">
        <v>3.7304975174773802</v>
      </c>
      <c r="I39">
        <v>5.2</v>
      </c>
      <c r="J39">
        <v>1.0133936029407558</v>
      </c>
      <c r="K39">
        <v>0.85369573219087247</v>
      </c>
      <c r="L39">
        <v>0.86512979386005473</v>
      </c>
      <c r="M39">
        <v>3.3199689458839909</v>
      </c>
      <c r="N39">
        <v>3.1157904039387905</v>
      </c>
      <c r="O39">
        <v>2.9275089542395181</v>
      </c>
      <c r="P39">
        <v>2.7594826210992807</v>
      </c>
      <c r="Q39">
        <v>2.6023192108207818</v>
      </c>
      <c r="R39">
        <v>2.4570242956711192</v>
      </c>
      <c r="S39">
        <v>2.3283902413495392</v>
      </c>
      <c r="T39">
        <v>2.2088346083325856</v>
      </c>
      <c r="U39">
        <v>2.0963951740011266</v>
      </c>
      <c r="V39">
        <v>1.9840812634174712</v>
      </c>
      <c r="W39">
        <v>1.8774647821213912</v>
      </c>
      <c r="X39">
        <v>1.7819426572235877</v>
      </c>
      <c r="Y39">
        <v>1.6958776467054446</v>
      </c>
      <c r="Z39">
        <v>1.616482123038979</v>
      </c>
      <c r="AA39">
        <v>1.540421612054419</v>
      </c>
      <c r="AB39">
        <v>1.4681036923151405</v>
      </c>
      <c r="AC39">
        <v>1.4014107426424531</v>
      </c>
      <c r="AD39">
        <v>1.3409286137896796</v>
      </c>
      <c r="AE39">
        <v>1.2848717531546798</v>
      </c>
      <c r="AF39">
        <v>1.2333693590645185</v>
      </c>
      <c r="AG39">
        <v>1.1869841465263802</v>
      </c>
      <c r="AH39">
        <v>1.1445123516268745</v>
      </c>
      <c r="AI39">
        <v>1.1064888017615107</v>
      </c>
      <c r="AJ39">
        <v>1.0705337467812717</v>
      </c>
      <c r="AK39">
        <v>1.0312690758346585</v>
      </c>
      <c r="AL39">
        <v>0.99431847450127275</v>
      </c>
      <c r="AM39">
        <v>0.96132470210461674</v>
      </c>
      <c r="AN39">
        <v>0.93033215812759118</v>
      </c>
      <c r="AO39">
        <v>0.90201334442199954</v>
      </c>
      <c r="AP39">
        <v>0.87670580456515945</v>
      </c>
      <c r="AQ39">
        <v>0.85331437778241581</v>
      </c>
      <c r="AR39">
        <v>0.83118298350392372</v>
      </c>
      <c r="AS39">
        <v>0.80512117477232925</v>
      </c>
      <c r="AT39">
        <v>0.78451596852987882</v>
      </c>
      <c r="AU39">
        <v>0.76840735257962356</v>
      </c>
      <c r="AV39">
        <v>0.75802424708616889</v>
      </c>
      <c r="AW39">
        <v>0.75691028305584551</v>
      </c>
      <c r="AX39">
        <v>0.76776460684290959</v>
      </c>
      <c r="AY39">
        <v>0.7846944020085489</v>
      </c>
      <c r="AZ39">
        <v>0.8106839712317726</v>
      </c>
      <c r="BA39">
        <v>0.86652293896167099</v>
      </c>
      <c r="BB39">
        <v>0.89557947603009025</v>
      </c>
      <c r="BC39">
        <v>0.89573029278811311</v>
      </c>
      <c r="BD39">
        <v>0.88956741560262886</v>
      </c>
      <c r="BE39">
        <v>0.88875471228786296</v>
      </c>
      <c r="BF39">
        <v>0.88681103345939838</v>
      </c>
      <c r="BG39">
        <v>0.88551506713741923</v>
      </c>
      <c r="BH39">
        <v>0.88668635797781103</v>
      </c>
      <c r="BI39">
        <v>0.88647128333876435</v>
      </c>
      <c r="BJ39">
        <v>0.89334429383844438</v>
      </c>
      <c r="BK39">
        <v>0.90338656691458596</v>
      </c>
      <c r="BL39">
        <v>0.93830306026337518</v>
      </c>
      <c r="BM39">
        <v>0.99346663872707963</v>
      </c>
      <c r="BN39">
        <v>1.0294733116801891</v>
      </c>
      <c r="BO39">
        <v>1.0525041500576862</v>
      </c>
      <c r="BP39">
        <v>1.0604719049215345</v>
      </c>
      <c r="BQ39">
        <v>1.062334819926964</v>
      </c>
      <c r="BR39">
        <v>1.0542744362191154</v>
      </c>
      <c r="BS39">
        <v>1.053075250119242</v>
      </c>
      <c r="BT39">
        <v>1.0760305811809729</v>
      </c>
      <c r="BU39">
        <v>1.1352000627006913</v>
      </c>
      <c r="BV39">
        <v>1.2221942135302004</v>
      </c>
      <c r="BW39">
        <v>1.3642017014203074</v>
      </c>
      <c r="BX39">
        <v>1.5823808147936922</v>
      </c>
    </row>
    <row r="40" spans="1:76">
      <c r="A40" t="s">
        <v>200</v>
      </c>
      <c r="B40">
        <v>2008</v>
      </c>
      <c r="C40">
        <v>12</v>
      </c>
      <c r="D40">
        <v>7</v>
      </c>
      <c r="E40">
        <v>10.570833333333333</v>
      </c>
      <c r="F40">
        <v>3</v>
      </c>
      <c r="G40">
        <v>0.46246599999999999</v>
      </c>
      <c r="H40">
        <v>8.0848269083511468</v>
      </c>
      <c r="I40">
        <v>9.1</v>
      </c>
      <c r="J40">
        <v>1.4208376814144454</v>
      </c>
      <c r="K40">
        <v>0.47140008605806827</v>
      </c>
      <c r="L40">
        <v>0.6697830052933158</v>
      </c>
      <c r="M40">
        <v>3.6767316580553517</v>
      </c>
      <c r="N40">
        <v>3.5140397824199359</v>
      </c>
      <c r="O40">
        <v>3.3608720099786282</v>
      </c>
      <c r="P40">
        <v>3.2266268260559441</v>
      </c>
      <c r="Q40">
        <v>3.0965902690963887</v>
      </c>
      <c r="R40">
        <v>2.973927042039457</v>
      </c>
      <c r="S40">
        <v>2.8682981675057153</v>
      </c>
      <c r="T40">
        <v>2.7675327562599756</v>
      </c>
      <c r="U40">
        <v>2.6687554971014325</v>
      </c>
      <c r="V40">
        <v>2.5612382845189794</v>
      </c>
      <c r="W40">
        <v>2.4550895234614529</v>
      </c>
      <c r="X40">
        <v>2.3619947597669344</v>
      </c>
      <c r="Y40">
        <v>2.2788174060472977</v>
      </c>
      <c r="Z40">
        <v>2.201029615381263</v>
      </c>
      <c r="AA40">
        <v>2.1234433137835498</v>
      </c>
      <c r="AB40">
        <v>2.0470540828866008</v>
      </c>
      <c r="AC40">
        <v>1.9754519678896101</v>
      </c>
      <c r="AD40">
        <v>1.9108823903783605</v>
      </c>
      <c r="AE40">
        <v>1.8498420570128249</v>
      </c>
      <c r="AF40">
        <v>1.7924538905814384</v>
      </c>
      <c r="AG40">
        <v>1.7401570588471604</v>
      </c>
      <c r="AH40">
        <v>1.6900496236681684</v>
      </c>
      <c r="AI40">
        <v>1.6435710125274685</v>
      </c>
      <c r="AJ40">
        <v>1.5981863873580315</v>
      </c>
      <c r="AK40">
        <v>1.5506024605795865</v>
      </c>
      <c r="AL40">
        <v>1.5057047388812084</v>
      </c>
      <c r="AM40">
        <v>1.465125134517566</v>
      </c>
      <c r="AN40">
        <v>1.4263561368934743</v>
      </c>
      <c r="AO40">
        <v>1.3904359798758366</v>
      </c>
      <c r="AP40">
        <v>1.3570460745219051</v>
      </c>
      <c r="AQ40">
        <v>1.3241466864855247</v>
      </c>
      <c r="AR40">
        <v>1.2944553688229536</v>
      </c>
      <c r="AS40">
        <v>1.2580653618760405</v>
      </c>
      <c r="AT40">
        <v>1.2299309721795995</v>
      </c>
      <c r="AU40">
        <v>1.2055478585793959</v>
      </c>
      <c r="AV40">
        <v>1.1875682038554185</v>
      </c>
      <c r="AW40">
        <v>1.1797241037913526</v>
      </c>
      <c r="AX40">
        <v>1.1835350261014661</v>
      </c>
      <c r="AY40">
        <v>1.1927183951434397</v>
      </c>
      <c r="AZ40">
        <v>1.2104058408326841</v>
      </c>
      <c r="BA40">
        <v>1.2571990113785303</v>
      </c>
      <c r="BB40">
        <v>1.2793147362370179</v>
      </c>
      <c r="BC40">
        <v>1.2748186692666554</v>
      </c>
      <c r="BD40">
        <v>1.2641487550562438</v>
      </c>
      <c r="BE40">
        <v>1.2583096262036257</v>
      </c>
      <c r="BF40">
        <v>1.250084021606841</v>
      </c>
      <c r="BG40">
        <v>1.2424438478643647</v>
      </c>
      <c r="BH40">
        <v>1.2375050289750442</v>
      </c>
      <c r="BI40">
        <v>1.2300016292038107</v>
      </c>
      <c r="BJ40">
        <v>1.2301177484490751</v>
      </c>
      <c r="BK40">
        <v>1.2347802075264718</v>
      </c>
      <c r="BL40">
        <v>1.2673212467218469</v>
      </c>
      <c r="BM40">
        <v>1.3271642818214877</v>
      </c>
      <c r="BN40">
        <v>1.3723592728514609</v>
      </c>
      <c r="BO40">
        <v>1.4034826245559975</v>
      </c>
      <c r="BP40">
        <v>1.4096911486778485</v>
      </c>
      <c r="BQ40">
        <v>1.3980148356837967</v>
      </c>
      <c r="BR40">
        <v>1.3655010945626174</v>
      </c>
      <c r="BS40">
        <v>1.3364201717620867</v>
      </c>
      <c r="BT40">
        <v>1.3367840369121633</v>
      </c>
      <c r="BU40">
        <v>1.3790682664830867</v>
      </c>
      <c r="BV40">
        <v>1.4553154721264123</v>
      </c>
      <c r="BW40">
        <v>1.5865230703012696</v>
      </c>
      <c r="BX40">
        <v>1.7961675251241005</v>
      </c>
    </row>
    <row r="41" spans="1:76">
      <c r="A41" t="s">
        <v>201</v>
      </c>
      <c r="B41">
        <v>2008</v>
      </c>
      <c r="C41">
        <v>12</v>
      </c>
      <c r="D41">
        <v>7</v>
      </c>
      <c r="E41">
        <v>10.733333333333333</v>
      </c>
      <c r="F41">
        <v>3</v>
      </c>
      <c r="G41">
        <v>0.48318699999999998</v>
      </c>
      <c r="H41">
        <v>8.331495500777546</v>
      </c>
      <c r="I41">
        <v>6.4</v>
      </c>
      <c r="J41">
        <v>1.1507103369849214</v>
      </c>
      <c r="K41">
        <v>0.68636275693865478</v>
      </c>
      <c r="L41">
        <v>0.78980471933077911</v>
      </c>
      <c r="M41">
        <v>3.095410993762381</v>
      </c>
      <c r="N41">
        <v>2.9441909438355935</v>
      </c>
      <c r="O41">
        <v>2.8022830848936904</v>
      </c>
      <c r="P41">
        <v>2.6792774571317137</v>
      </c>
      <c r="Q41">
        <v>2.5601913859282748</v>
      </c>
      <c r="R41">
        <v>2.4482602846934745</v>
      </c>
      <c r="S41">
        <v>2.3533404630193369</v>
      </c>
      <c r="T41">
        <v>2.2630355683453387</v>
      </c>
      <c r="U41">
        <v>2.174411033367571</v>
      </c>
      <c r="V41">
        <v>2.076559097077185</v>
      </c>
      <c r="W41">
        <v>1.9797770407293451</v>
      </c>
      <c r="X41">
        <v>1.896027069629405</v>
      </c>
      <c r="Y41">
        <v>1.8220936673240502</v>
      </c>
      <c r="Z41">
        <v>1.7533625378996014</v>
      </c>
      <c r="AA41">
        <v>1.6845549969304636</v>
      </c>
      <c r="AB41">
        <v>1.6166853848949119</v>
      </c>
      <c r="AC41">
        <v>1.5534148952961131</v>
      </c>
      <c r="AD41">
        <v>1.4970647373981549</v>
      </c>
      <c r="AE41">
        <v>1.4440468077935504</v>
      </c>
      <c r="AF41">
        <v>1.394480726028045</v>
      </c>
      <c r="AG41">
        <v>1.3498506091813816</v>
      </c>
      <c r="AH41">
        <v>1.3071697432058347</v>
      </c>
      <c r="AI41">
        <v>1.2679282841676867</v>
      </c>
      <c r="AJ41">
        <v>1.2295802233685122</v>
      </c>
      <c r="AK41">
        <v>1.188919295203418</v>
      </c>
      <c r="AL41">
        <v>1.1508152523520496</v>
      </c>
      <c r="AM41">
        <v>1.1169257425217338</v>
      </c>
      <c r="AN41">
        <v>1.0847080105029314</v>
      </c>
      <c r="AO41">
        <v>1.0552441327092228</v>
      </c>
      <c r="AP41">
        <v>1.0281971294827053</v>
      </c>
      <c r="AQ41">
        <v>1.0014619593643477</v>
      </c>
      <c r="AR41">
        <v>0.97797443060243316</v>
      </c>
      <c r="AS41">
        <v>0.9474369210823993</v>
      </c>
      <c r="AT41">
        <v>0.92534665882424338</v>
      </c>
      <c r="AU41">
        <v>0.9069583258981615</v>
      </c>
      <c r="AV41">
        <v>0.89504170534229632</v>
      </c>
      <c r="AW41">
        <v>0.89336935364951109</v>
      </c>
      <c r="AX41">
        <v>0.90334571366424044</v>
      </c>
      <c r="AY41">
        <v>0.91852584942783888</v>
      </c>
      <c r="AZ41">
        <v>0.94203890040220062</v>
      </c>
      <c r="BA41">
        <v>0.99447330318513805</v>
      </c>
      <c r="BB41">
        <v>1.0220981489569703</v>
      </c>
      <c r="BC41">
        <v>1.0231288338211131</v>
      </c>
      <c r="BD41">
        <v>1.0179244980956588</v>
      </c>
      <c r="BE41">
        <v>1.0174506978371336</v>
      </c>
      <c r="BF41">
        <v>1.0144647346382738</v>
      </c>
      <c r="BG41">
        <v>1.0119979800291614</v>
      </c>
      <c r="BH41">
        <v>1.0121791191834879</v>
      </c>
      <c r="BI41">
        <v>1.0096858470124903</v>
      </c>
      <c r="BJ41">
        <v>1.0147657204176155</v>
      </c>
      <c r="BK41">
        <v>1.0243969575011429</v>
      </c>
      <c r="BL41">
        <v>1.061930978830405</v>
      </c>
      <c r="BM41">
        <v>1.1270054861030063</v>
      </c>
      <c r="BN41">
        <v>1.1776619470099048</v>
      </c>
      <c r="BO41">
        <v>1.2141917395939572</v>
      </c>
      <c r="BP41">
        <v>1.2253375676564198</v>
      </c>
      <c r="BQ41">
        <v>1.2180157224643318</v>
      </c>
      <c r="BR41">
        <v>1.1893276819574887</v>
      </c>
      <c r="BS41">
        <v>1.163861366185069</v>
      </c>
      <c r="BT41">
        <v>1.1680019790271516</v>
      </c>
      <c r="BU41">
        <v>1.2142168546510974</v>
      </c>
      <c r="BV41">
        <v>1.294597884398573</v>
      </c>
      <c r="BW41">
        <v>1.4297815930988258</v>
      </c>
      <c r="BX41">
        <v>1.6433060507357249</v>
      </c>
    </row>
    <row r="42" spans="1:76">
      <c r="A42" t="s">
        <v>202</v>
      </c>
      <c r="B42">
        <v>2008</v>
      </c>
      <c r="C42">
        <v>12</v>
      </c>
      <c r="D42">
        <v>7</v>
      </c>
      <c r="E42">
        <v>10.966666666666667</v>
      </c>
      <c r="F42">
        <v>3</v>
      </c>
      <c r="G42">
        <v>0.63676200000000005</v>
      </c>
      <c r="H42">
        <v>4.5615817954309978</v>
      </c>
      <c r="I42">
        <v>4.8</v>
      </c>
      <c r="J42">
        <v>0.96698435041567288</v>
      </c>
      <c r="K42">
        <v>0.92901695813960572</v>
      </c>
      <c r="L42">
        <v>0.89834485979177103</v>
      </c>
      <c r="M42">
        <v>3.0442049051642464</v>
      </c>
      <c r="N42">
        <v>2.8613430976968117</v>
      </c>
      <c r="O42">
        <v>2.6923108011195422</v>
      </c>
      <c r="P42">
        <v>2.5425239399578761</v>
      </c>
      <c r="Q42">
        <v>2.4016001599014478</v>
      </c>
      <c r="R42">
        <v>2.2710243211266143</v>
      </c>
      <c r="S42">
        <v>2.1565957671602862</v>
      </c>
      <c r="T42">
        <v>2.0498715076966736</v>
      </c>
      <c r="U42">
        <v>1.9487442672134989</v>
      </c>
      <c r="V42">
        <v>1.8455325921364134</v>
      </c>
      <c r="W42">
        <v>1.7467284808678971</v>
      </c>
      <c r="X42">
        <v>1.6590169421524652</v>
      </c>
      <c r="Y42">
        <v>1.5804821311719366</v>
      </c>
      <c r="Z42">
        <v>1.5080158764281231</v>
      </c>
      <c r="AA42">
        <v>1.4379418719182704</v>
      </c>
      <c r="AB42">
        <v>1.3708020852381195</v>
      </c>
      <c r="AC42">
        <v>1.3088321652872432</v>
      </c>
      <c r="AD42">
        <v>1.2529741670177259</v>
      </c>
      <c r="AE42">
        <v>1.2011105632281405</v>
      </c>
      <c r="AF42">
        <v>1.153381364126211</v>
      </c>
      <c r="AG42">
        <v>1.1105421683390866</v>
      </c>
      <c r="AH42">
        <v>1.0710535108149097</v>
      </c>
      <c r="AI42">
        <v>1.0356514376585957</v>
      </c>
      <c r="AJ42">
        <v>1.0019490758521985</v>
      </c>
      <c r="AK42">
        <v>0.96503922584957891</v>
      </c>
      <c r="AL42">
        <v>0.93037281812302419</v>
      </c>
      <c r="AM42">
        <v>0.89960067202391425</v>
      </c>
      <c r="AN42">
        <v>0.87066810520907678</v>
      </c>
      <c r="AO42">
        <v>0.84433734000328386</v>
      </c>
      <c r="AP42">
        <v>0.82081791518347125</v>
      </c>
      <c r="AQ42">
        <v>0.79882077832647469</v>
      </c>
      <c r="AR42">
        <v>0.77842360671537947</v>
      </c>
      <c r="AS42">
        <v>0.75342253328764652</v>
      </c>
      <c r="AT42">
        <v>0.73442053813183428</v>
      </c>
      <c r="AU42">
        <v>0.7196960845280076</v>
      </c>
      <c r="AV42">
        <v>0.71078249423869</v>
      </c>
      <c r="AW42">
        <v>0.71124401376964963</v>
      </c>
      <c r="AX42">
        <v>0.72348230939826896</v>
      </c>
      <c r="AY42">
        <v>0.74150870514456479</v>
      </c>
      <c r="AZ42">
        <v>0.76831244424551159</v>
      </c>
      <c r="BA42">
        <v>0.82447457683267289</v>
      </c>
      <c r="BB42">
        <v>0.85440201250864556</v>
      </c>
      <c r="BC42">
        <v>0.85608761366558928</v>
      </c>
      <c r="BD42">
        <v>0.85149893117160769</v>
      </c>
      <c r="BE42">
        <v>0.85206337482840966</v>
      </c>
      <c r="BF42">
        <v>0.85120457443426401</v>
      </c>
      <c r="BG42">
        <v>0.85093812404963964</v>
      </c>
      <c r="BH42">
        <v>0.85313086154404627</v>
      </c>
      <c r="BI42">
        <v>0.85367120225221882</v>
      </c>
      <c r="BJ42">
        <v>0.86131526541148384</v>
      </c>
      <c r="BK42">
        <v>0.87235853964409449</v>
      </c>
      <c r="BL42">
        <v>0.90864367689897674</v>
      </c>
      <c r="BM42">
        <v>0.96644295757957543</v>
      </c>
      <c r="BN42">
        <v>1.0061876335622015</v>
      </c>
      <c r="BO42">
        <v>1.0328262190535207</v>
      </c>
      <c r="BP42">
        <v>1.042458692728214</v>
      </c>
      <c r="BQ42">
        <v>1.0435606070608059</v>
      </c>
      <c r="BR42">
        <v>1.0325320096610187</v>
      </c>
      <c r="BS42">
        <v>1.0275707276986841</v>
      </c>
      <c r="BT42">
        <v>1.0476368685108803</v>
      </c>
      <c r="BU42">
        <v>1.1047698751276425</v>
      </c>
      <c r="BV42">
        <v>1.1907496631391981</v>
      </c>
      <c r="BW42">
        <v>1.3312287116242629</v>
      </c>
      <c r="BX42">
        <v>1.5476612605516789</v>
      </c>
    </row>
    <row r="43" spans="1:76">
      <c r="A43" t="s">
        <v>203</v>
      </c>
      <c r="B43">
        <v>2008</v>
      </c>
      <c r="C43">
        <v>12</v>
      </c>
      <c r="D43">
        <v>7</v>
      </c>
      <c r="E43">
        <v>11.216666666666667</v>
      </c>
      <c r="F43">
        <v>3</v>
      </c>
      <c r="G43">
        <v>0.47768899999999997</v>
      </c>
      <c r="H43">
        <v>10.059880777392115</v>
      </c>
      <c r="I43">
        <v>6.3</v>
      </c>
      <c r="J43">
        <v>1.1506459953361554</v>
      </c>
      <c r="K43">
        <v>0.70014112665187545</v>
      </c>
      <c r="L43">
        <v>0.80561458355212445</v>
      </c>
      <c r="M43">
        <v>3.0786003547215399</v>
      </c>
      <c r="N43">
        <v>2.9315367413500173</v>
      </c>
      <c r="O43">
        <v>2.7930169693722604</v>
      </c>
      <c r="P43">
        <v>2.6741623906213503</v>
      </c>
      <c r="Q43">
        <v>2.558107922741065</v>
      </c>
      <c r="R43">
        <v>2.4486921488089934</v>
      </c>
      <c r="S43">
        <v>2.3572803726230096</v>
      </c>
      <c r="T43">
        <v>2.2698679041915337</v>
      </c>
      <c r="U43">
        <v>2.1831335951484649</v>
      </c>
      <c r="V43">
        <v>2.0848639949588126</v>
      </c>
      <c r="W43">
        <v>1.986786091378725</v>
      </c>
      <c r="X43">
        <v>1.9028896424772754</v>
      </c>
      <c r="Y43">
        <v>1.8294035372440689</v>
      </c>
      <c r="Z43">
        <v>1.7610874023978831</v>
      </c>
      <c r="AA43">
        <v>1.6920057377404136</v>
      </c>
      <c r="AB43">
        <v>1.6233262957492247</v>
      </c>
      <c r="AC43">
        <v>1.5592371169737751</v>
      </c>
      <c r="AD43">
        <v>1.5025797518275046</v>
      </c>
      <c r="AE43">
        <v>1.4491640929496865</v>
      </c>
      <c r="AF43">
        <v>1.3990790147088261</v>
      </c>
      <c r="AG43">
        <v>1.3540755256532755</v>
      </c>
      <c r="AH43">
        <v>1.3105785156077183</v>
      </c>
      <c r="AI43">
        <v>1.2703619074573345</v>
      </c>
      <c r="AJ43">
        <v>1.2308189157956693</v>
      </c>
      <c r="AK43">
        <v>1.1894413358965938</v>
      </c>
      <c r="AL43">
        <v>1.1508199021264953</v>
      </c>
      <c r="AM43">
        <v>1.1165954050451241</v>
      </c>
      <c r="AN43">
        <v>1.0840353598607404</v>
      </c>
      <c r="AO43">
        <v>1.0543372072592263</v>
      </c>
      <c r="AP43">
        <v>1.0269393204114778</v>
      </c>
      <c r="AQ43">
        <v>0.99941608818333871</v>
      </c>
      <c r="AR43">
        <v>0.97583065219110066</v>
      </c>
      <c r="AS43">
        <v>0.94429654222754467</v>
      </c>
      <c r="AT43">
        <v>0.92218025890395394</v>
      </c>
      <c r="AU43">
        <v>0.90354404624113882</v>
      </c>
      <c r="AV43">
        <v>0.891629203952922</v>
      </c>
      <c r="AW43">
        <v>0.89025742610122949</v>
      </c>
      <c r="AX43">
        <v>0.90041254392765935</v>
      </c>
      <c r="AY43">
        <v>0.91550424396545971</v>
      </c>
      <c r="AZ43">
        <v>0.93869085858560464</v>
      </c>
      <c r="BA43">
        <v>0.99041087164643482</v>
      </c>
      <c r="BB43">
        <v>1.0180877996917677</v>
      </c>
      <c r="BC43">
        <v>1.0200402801137161</v>
      </c>
      <c r="BD43">
        <v>1.0158226042192606</v>
      </c>
      <c r="BE43">
        <v>1.0161311652964498</v>
      </c>
      <c r="BF43">
        <v>1.0135031617125871</v>
      </c>
      <c r="BG43">
        <v>1.011361267756216</v>
      </c>
      <c r="BH43">
        <v>1.0119246809846136</v>
      </c>
      <c r="BI43">
        <v>1.0094152596360513</v>
      </c>
      <c r="BJ43">
        <v>1.0146144673243955</v>
      </c>
      <c r="BK43">
        <v>1.0248010301081865</v>
      </c>
      <c r="BL43">
        <v>1.063774623933432</v>
      </c>
      <c r="BM43">
        <v>1.132561968039266</v>
      </c>
      <c r="BN43">
        <v>1.1885264575042398</v>
      </c>
      <c r="BO43">
        <v>1.2300460951022536</v>
      </c>
      <c r="BP43">
        <v>1.2429278060624092</v>
      </c>
      <c r="BQ43">
        <v>1.2334012262086134</v>
      </c>
      <c r="BR43">
        <v>1.1988750976859892</v>
      </c>
      <c r="BS43">
        <v>1.1663804316582396</v>
      </c>
      <c r="BT43">
        <v>1.1651561184689536</v>
      </c>
      <c r="BU43">
        <v>1.2077594517024051</v>
      </c>
      <c r="BV43">
        <v>1.2864685167107757</v>
      </c>
      <c r="BW43">
        <v>1.4197247225251821</v>
      </c>
      <c r="BX43">
        <v>1.6317569401741321</v>
      </c>
    </row>
    <row r="44" spans="1:76">
      <c r="A44" t="s">
        <v>204</v>
      </c>
      <c r="B44">
        <v>2008</v>
      </c>
      <c r="C44">
        <v>12</v>
      </c>
      <c r="D44">
        <v>7</v>
      </c>
      <c r="E44">
        <v>11.65</v>
      </c>
      <c r="F44">
        <v>3</v>
      </c>
      <c r="G44">
        <v>0.83227099999999998</v>
      </c>
      <c r="H44">
        <v>6.270546613743103</v>
      </c>
      <c r="I44">
        <v>11</v>
      </c>
      <c r="J44">
        <v>1.6125815840782234</v>
      </c>
      <c r="K44">
        <v>0.38956571735184808</v>
      </c>
      <c r="L44">
        <v>0.62820650158981262</v>
      </c>
      <c r="M44">
        <v>5.0571148515252062</v>
      </c>
      <c r="N44">
        <v>4.7916864668072447</v>
      </c>
      <c r="O44">
        <v>4.5451077324306084</v>
      </c>
      <c r="P44">
        <v>4.3241235225383061</v>
      </c>
      <c r="Q44">
        <v>4.1156847814971433</v>
      </c>
      <c r="R44">
        <v>3.9215866575843781</v>
      </c>
      <c r="S44">
        <v>3.749044730378948</v>
      </c>
      <c r="T44">
        <v>3.5873769446660182</v>
      </c>
      <c r="U44">
        <v>3.4337116523011137</v>
      </c>
      <c r="V44">
        <v>3.2785388456514704</v>
      </c>
      <c r="W44">
        <v>3.129785063216084</v>
      </c>
      <c r="X44">
        <v>2.9962922987808254</v>
      </c>
      <c r="Y44">
        <v>2.8752744794905443</v>
      </c>
      <c r="Z44">
        <v>2.7626869195931691</v>
      </c>
      <c r="AA44">
        <v>2.6538986015925436</v>
      </c>
      <c r="AB44">
        <v>2.5494724235144313</v>
      </c>
      <c r="AC44">
        <v>2.4521193419752976</v>
      </c>
      <c r="AD44">
        <v>2.3632560162994531</v>
      </c>
      <c r="AE44">
        <v>2.2799343970540615</v>
      </c>
      <c r="AF44">
        <v>2.2021443480508527</v>
      </c>
      <c r="AG44">
        <v>2.1308402751507813</v>
      </c>
      <c r="AH44">
        <v>2.0636937207419086</v>
      </c>
      <c r="AI44">
        <v>2.0016662559508869</v>
      </c>
      <c r="AJ44">
        <v>1.9422293784260583</v>
      </c>
      <c r="AK44">
        <v>1.8812883182036511</v>
      </c>
      <c r="AL44">
        <v>1.8238316093480322</v>
      </c>
      <c r="AM44">
        <v>1.7713637147266885</v>
      </c>
      <c r="AN44">
        <v>1.7215703770259623</v>
      </c>
      <c r="AO44">
        <v>1.6752386337992964</v>
      </c>
      <c r="AP44">
        <v>1.6322185947613854</v>
      </c>
      <c r="AQ44">
        <v>1.5908282332627737</v>
      </c>
      <c r="AR44">
        <v>1.552379089118433</v>
      </c>
      <c r="AS44">
        <v>1.5090671383719179</v>
      </c>
      <c r="AT44">
        <v>1.4730984784334189</v>
      </c>
      <c r="AU44">
        <v>1.4413988773004329</v>
      </c>
      <c r="AV44">
        <v>1.41593613852053</v>
      </c>
      <c r="AW44">
        <v>1.4002037399664613</v>
      </c>
      <c r="AX44">
        <v>1.3961741190366812</v>
      </c>
      <c r="AY44">
        <v>1.3980565874674988</v>
      </c>
      <c r="AZ44">
        <v>1.4088842377487536</v>
      </c>
      <c r="BA44">
        <v>1.4489705146924785</v>
      </c>
      <c r="BB44">
        <v>1.4645870165024655</v>
      </c>
      <c r="BC44">
        <v>1.4534678366559997</v>
      </c>
      <c r="BD44">
        <v>1.4364455709082731</v>
      </c>
      <c r="BE44">
        <v>1.4245830342644641</v>
      </c>
      <c r="BF44">
        <v>1.4110425541831448</v>
      </c>
      <c r="BG44">
        <v>1.3982805918257761</v>
      </c>
      <c r="BH44">
        <v>1.3882588079675702</v>
      </c>
      <c r="BI44">
        <v>1.3763120469909058</v>
      </c>
      <c r="BJ44">
        <v>1.3718278883926989</v>
      </c>
      <c r="BK44">
        <v>1.3714410061448961</v>
      </c>
      <c r="BL44">
        <v>1.3975689884998759</v>
      </c>
      <c r="BM44">
        <v>1.4480906359770129</v>
      </c>
      <c r="BN44">
        <v>1.482516257149209</v>
      </c>
      <c r="BO44">
        <v>1.5035511673755813</v>
      </c>
      <c r="BP44">
        <v>1.5038337098864138</v>
      </c>
      <c r="BQ44">
        <v>1.4910469075444961</v>
      </c>
      <c r="BR44">
        <v>1.4619347142077421</v>
      </c>
      <c r="BS44">
        <v>1.4376009198765807</v>
      </c>
      <c r="BT44">
        <v>1.4403999168286683</v>
      </c>
      <c r="BU44">
        <v>1.4824958332118607</v>
      </c>
      <c r="BV44">
        <v>1.5558481686457095</v>
      </c>
      <c r="BW44">
        <v>1.6835832836200673</v>
      </c>
      <c r="BX44">
        <v>1.8880066714035757</v>
      </c>
    </row>
    <row r="45" spans="1:76">
      <c r="A45" t="s">
        <v>205</v>
      </c>
      <c r="B45">
        <v>2008</v>
      </c>
      <c r="C45">
        <v>12</v>
      </c>
      <c r="D45">
        <v>7</v>
      </c>
      <c r="E45">
        <v>13.150000000000002</v>
      </c>
      <c r="F45">
        <v>3</v>
      </c>
      <c r="G45">
        <v>0.62984799999999996</v>
      </c>
      <c r="H45">
        <v>4.4200930531765961</v>
      </c>
      <c r="I45">
        <v>4.5999999999999996</v>
      </c>
      <c r="J45">
        <v>0.94942668129171037</v>
      </c>
      <c r="K45">
        <v>0.9703910145246164</v>
      </c>
      <c r="L45">
        <v>0.92131512047540243</v>
      </c>
      <c r="M45">
        <v>3.003763207959377</v>
      </c>
      <c r="N45">
        <v>2.8215682965553555</v>
      </c>
      <c r="O45">
        <v>2.653224891650336</v>
      </c>
      <c r="P45">
        <v>2.5040672488127624</v>
      </c>
      <c r="Q45">
        <v>2.3638087105603565</v>
      </c>
      <c r="R45">
        <v>2.233901656398408</v>
      </c>
      <c r="S45">
        <v>2.1200687274014447</v>
      </c>
      <c r="T45">
        <v>2.0139510263911671</v>
      </c>
      <c r="U45">
        <v>1.9134688902417194</v>
      </c>
      <c r="V45">
        <v>1.8109975190331773</v>
      </c>
      <c r="W45">
        <v>1.7129653845721713</v>
      </c>
      <c r="X45">
        <v>1.6259306526384805</v>
      </c>
      <c r="Y45">
        <v>1.5480213732541828</v>
      </c>
      <c r="Z45">
        <v>1.4761663428657894</v>
      </c>
      <c r="AA45">
        <v>1.4067221416411899</v>
      </c>
      <c r="AB45">
        <v>1.3402252890157655</v>
      </c>
      <c r="AC45">
        <v>1.2788886289351395</v>
      </c>
      <c r="AD45">
        <v>1.2236159947159511</v>
      </c>
      <c r="AE45">
        <v>1.1723331062158311</v>
      </c>
      <c r="AF45">
        <v>1.1251882945671725</v>
      </c>
      <c r="AG45">
        <v>1.0829243524829992</v>
      </c>
      <c r="AH45">
        <v>1.0440513763675492</v>
      </c>
      <c r="AI45">
        <v>1.00928797371754</v>
      </c>
      <c r="AJ45">
        <v>0.97622760325133018</v>
      </c>
      <c r="AK45">
        <v>0.93983369197820332</v>
      </c>
      <c r="AL45">
        <v>0.90565666975194414</v>
      </c>
      <c r="AM45">
        <v>0.87537349175599966</v>
      </c>
      <c r="AN45">
        <v>0.84692587827492949</v>
      </c>
      <c r="AO45">
        <v>0.82107769994929791</v>
      </c>
      <c r="AP45">
        <v>0.79806901475043124</v>
      </c>
      <c r="AQ45">
        <v>0.77662954305473286</v>
      </c>
      <c r="AR45">
        <v>0.75671690844033801</v>
      </c>
      <c r="AS45">
        <v>0.73222644332017905</v>
      </c>
      <c r="AT45">
        <v>0.71368927284770622</v>
      </c>
      <c r="AU45">
        <v>0.69948975180844841</v>
      </c>
      <c r="AV45">
        <v>0.69112541002307548</v>
      </c>
      <c r="AW45">
        <v>0.69219079561362862</v>
      </c>
      <c r="AX45">
        <v>0.70515427792358421</v>
      </c>
      <c r="AY45">
        <v>0.72397644848986942</v>
      </c>
      <c r="AZ45">
        <v>0.75167773603285726</v>
      </c>
      <c r="BA45">
        <v>0.80908305409786274</v>
      </c>
      <c r="BB45">
        <v>0.83987814071876821</v>
      </c>
      <c r="BC45">
        <v>0.84202004805976516</v>
      </c>
      <c r="BD45">
        <v>0.83780254996756576</v>
      </c>
      <c r="BE45">
        <v>0.83880737333757849</v>
      </c>
      <c r="BF45">
        <v>0.83840975631218839</v>
      </c>
      <c r="BG45">
        <v>0.83860693774188011</v>
      </c>
      <c r="BH45">
        <v>0.84127729504975868</v>
      </c>
      <c r="BI45">
        <v>0.84231247699409584</v>
      </c>
      <c r="BJ45">
        <v>0.85050811872315413</v>
      </c>
      <c r="BK45">
        <v>0.86208970254188033</v>
      </c>
      <c r="BL45">
        <v>0.899098864393439</v>
      </c>
      <c r="BM45">
        <v>0.95762445520488937</v>
      </c>
      <c r="BN45">
        <v>0.99772366369885634</v>
      </c>
      <c r="BO45">
        <v>1.0245999673583945</v>
      </c>
      <c r="BP45">
        <v>1.0346157486156493</v>
      </c>
      <c r="BQ45">
        <v>1.036412282797663</v>
      </c>
      <c r="BR45">
        <v>1.0263157735334762</v>
      </c>
      <c r="BS45">
        <v>1.0224760667457933</v>
      </c>
      <c r="BT45">
        <v>1.0437699598041947</v>
      </c>
      <c r="BU45">
        <v>1.1023647453372158</v>
      </c>
      <c r="BV45">
        <v>1.1899296109117463</v>
      </c>
      <c r="BW45">
        <v>1.3326367357391016</v>
      </c>
      <c r="BX45">
        <v>1.552111724773128</v>
      </c>
    </row>
    <row r="46" spans="1:76">
      <c r="A46" t="s">
        <v>198</v>
      </c>
      <c r="B46">
        <v>2008</v>
      </c>
      <c r="C46">
        <v>10</v>
      </c>
      <c r="D46">
        <v>30</v>
      </c>
      <c r="E46">
        <v>9.9499999999999993</v>
      </c>
      <c r="F46">
        <v>3</v>
      </c>
      <c r="G46">
        <v>0.52800899999999995</v>
      </c>
      <c r="H46">
        <v>7.1114938456955166</v>
      </c>
      <c r="I46">
        <v>7.5</v>
      </c>
      <c r="J46">
        <v>1.2494835150676267</v>
      </c>
      <c r="K46">
        <v>0.57994740738924211</v>
      </c>
      <c r="L46">
        <v>0.72463472513906713</v>
      </c>
      <c r="M46">
        <v>3.4140706229057911</v>
      </c>
      <c r="N46">
        <v>3.2464451868787343</v>
      </c>
      <c r="O46">
        <v>3.0896563740049823</v>
      </c>
      <c r="P46">
        <v>2.9518972942610162</v>
      </c>
      <c r="Q46">
        <v>2.8197610261753545</v>
      </c>
      <c r="R46">
        <v>2.6959026766837342</v>
      </c>
      <c r="S46">
        <v>2.588811409963057</v>
      </c>
      <c r="T46">
        <v>2.4874393053461437</v>
      </c>
      <c r="U46">
        <v>2.389131125612987</v>
      </c>
      <c r="V46">
        <v>2.2840920966048475</v>
      </c>
      <c r="W46">
        <v>2.181322600693659</v>
      </c>
      <c r="X46">
        <v>2.0910247264469697</v>
      </c>
      <c r="Y46">
        <v>2.0104101636754725</v>
      </c>
      <c r="Z46">
        <v>1.9353734827825491</v>
      </c>
      <c r="AA46">
        <v>1.8611841847169579</v>
      </c>
      <c r="AB46">
        <v>1.7886968830867835</v>
      </c>
      <c r="AC46">
        <v>1.7210863984713323</v>
      </c>
      <c r="AD46">
        <v>1.660219681290986</v>
      </c>
      <c r="AE46">
        <v>1.6029960691732996</v>
      </c>
      <c r="AF46">
        <v>1.5495351880686079</v>
      </c>
      <c r="AG46">
        <v>1.50107006802308</v>
      </c>
      <c r="AH46">
        <v>1.4550847408399257</v>
      </c>
      <c r="AI46">
        <v>1.4128116504423107</v>
      </c>
      <c r="AJ46">
        <v>1.3717886799654311</v>
      </c>
      <c r="AK46">
        <v>1.3283528971552392</v>
      </c>
      <c r="AL46">
        <v>1.2874557203037653</v>
      </c>
      <c r="AM46">
        <v>1.2507076748450308</v>
      </c>
      <c r="AN46">
        <v>1.2157525917216234</v>
      </c>
      <c r="AO46">
        <v>1.1835411358723833</v>
      </c>
      <c r="AP46">
        <v>1.1538913810533162</v>
      </c>
      <c r="AQ46">
        <v>1.1249808689232181</v>
      </c>
      <c r="AR46">
        <v>1.0988280567906841</v>
      </c>
      <c r="AS46">
        <v>1.0665751209538163</v>
      </c>
      <c r="AT46">
        <v>1.0419056439004679</v>
      </c>
      <c r="AU46">
        <v>1.0210760882493619</v>
      </c>
      <c r="AV46">
        <v>1.0064334541041298</v>
      </c>
      <c r="AW46">
        <v>1.001629666660369</v>
      </c>
      <c r="AX46">
        <v>1.0083801701598718</v>
      </c>
      <c r="AY46">
        <v>1.0205298810898016</v>
      </c>
      <c r="AZ46">
        <v>1.0411255372157466</v>
      </c>
      <c r="BA46">
        <v>1.0904679579522358</v>
      </c>
      <c r="BB46">
        <v>1.1150290726397176</v>
      </c>
      <c r="BC46">
        <v>1.1129246657561804</v>
      </c>
      <c r="BD46">
        <v>1.10470315844784</v>
      </c>
      <c r="BE46">
        <v>1.101319472878326</v>
      </c>
      <c r="BF46">
        <v>1.0958253804526992</v>
      </c>
      <c r="BG46">
        <v>1.0909039761484096</v>
      </c>
      <c r="BH46">
        <v>1.0885758195061641</v>
      </c>
      <c r="BI46">
        <v>1.0839494725650396</v>
      </c>
      <c r="BJ46">
        <v>1.0866923081281894</v>
      </c>
      <c r="BK46">
        <v>1.0936113979832511</v>
      </c>
      <c r="BL46">
        <v>1.1272986060803256</v>
      </c>
      <c r="BM46">
        <v>1.1863698739463175</v>
      </c>
      <c r="BN46">
        <v>1.2301319585273887</v>
      </c>
      <c r="BO46">
        <v>1.2602795437630228</v>
      </c>
      <c r="BP46">
        <v>1.2679235805451425</v>
      </c>
      <c r="BQ46">
        <v>1.260360737131895</v>
      </c>
      <c r="BR46">
        <v>1.2345196178625093</v>
      </c>
      <c r="BS46">
        <v>1.212733027604145</v>
      </c>
      <c r="BT46">
        <v>1.2187977019218261</v>
      </c>
      <c r="BU46">
        <v>1.2648835556328943</v>
      </c>
      <c r="BV46">
        <v>1.3430870534933521</v>
      </c>
      <c r="BW46">
        <v>1.4752800713171421</v>
      </c>
      <c r="BX46">
        <v>1.6840566246956572</v>
      </c>
    </row>
    <row r="47" spans="1:76">
      <c r="A47" t="s">
        <v>199</v>
      </c>
      <c r="B47">
        <v>2008</v>
      </c>
      <c r="C47">
        <v>10</v>
      </c>
      <c r="D47">
        <v>30</v>
      </c>
      <c r="E47">
        <v>10.266666666666667</v>
      </c>
      <c r="F47">
        <v>3</v>
      </c>
      <c r="G47">
        <v>0.48710999999999999</v>
      </c>
      <c r="H47">
        <v>8.6773546282542231</v>
      </c>
      <c r="I47">
        <v>4.5999999999999996</v>
      </c>
      <c r="J47">
        <v>0.9537625921509485</v>
      </c>
      <c r="K47">
        <v>0.97494897729734131</v>
      </c>
      <c r="L47">
        <v>0.92986986380202852</v>
      </c>
      <c r="M47">
        <v>2.6416238977493656</v>
      </c>
      <c r="N47">
        <v>2.5034403654625335</v>
      </c>
      <c r="O47">
        <v>2.3739583904310781</v>
      </c>
      <c r="P47">
        <v>2.2628824946395705</v>
      </c>
      <c r="Q47">
        <v>2.1551723221876942</v>
      </c>
      <c r="R47">
        <v>2.05412556191391</v>
      </c>
      <c r="S47">
        <v>1.9696986935327532</v>
      </c>
      <c r="T47">
        <v>1.8894406875835665</v>
      </c>
      <c r="U47">
        <v>1.8104081661522744</v>
      </c>
      <c r="V47">
        <v>1.7216721800824906</v>
      </c>
      <c r="W47">
        <v>1.6336018032449338</v>
      </c>
      <c r="X47">
        <v>1.5583213069005182</v>
      </c>
      <c r="Y47">
        <v>1.4925777806977352</v>
      </c>
      <c r="Z47">
        <v>1.4317341343187948</v>
      </c>
      <c r="AA47">
        <v>1.370494659746202</v>
      </c>
      <c r="AB47">
        <v>1.3098888436542988</v>
      </c>
      <c r="AC47">
        <v>1.2536099838688286</v>
      </c>
      <c r="AD47">
        <v>1.2040437102796526</v>
      </c>
      <c r="AE47">
        <v>1.1575591868211548</v>
      </c>
      <c r="AF47">
        <v>1.1142756263475793</v>
      </c>
      <c r="AG47">
        <v>1.075709909871549</v>
      </c>
      <c r="AH47">
        <v>1.0388181100474436</v>
      </c>
      <c r="AI47">
        <v>1.0051321175018479</v>
      </c>
      <c r="AJ47">
        <v>0.97214615080649813</v>
      </c>
      <c r="AK47">
        <v>0.9368467057929617</v>
      </c>
      <c r="AL47">
        <v>0.90397795954076288</v>
      </c>
      <c r="AM47">
        <v>0.8751858695473681</v>
      </c>
      <c r="AN47">
        <v>0.84793671774544122</v>
      </c>
      <c r="AO47">
        <v>0.82333314581554617</v>
      </c>
      <c r="AP47">
        <v>0.80100681164956788</v>
      </c>
      <c r="AQ47">
        <v>0.7788194174176446</v>
      </c>
      <c r="AR47">
        <v>0.75991234802732688</v>
      </c>
      <c r="AS47">
        <v>0.73378094986169651</v>
      </c>
      <c r="AT47">
        <v>0.71614381133858052</v>
      </c>
      <c r="AU47">
        <v>0.70206261667848857</v>
      </c>
      <c r="AV47">
        <v>0.69436072734766108</v>
      </c>
      <c r="AW47">
        <v>0.69674115761032085</v>
      </c>
      <c r="AX47">
        <v>0.71045268635139114</v>
      </c>
      <c r="AY47">
        <v>0.7290952000256723</v>
      </c>
      <c r="AZ47">
        <v>0.75574004387513161</v>
      </c>
      <c r="BA47">
        <v>0.81051821633725196</v>
      </c>
      <c r="BB47">
        <v>0.84105030626185751</v>
      </c>
      <c r="BC47">
        <v>0.84565907942249452</v>
      </c>
      <c r="BD47">
        <v>0.84412701153216663</v>
      </c>
      <c r="BE47">
        <v>0.84713407078856373</v>
      </c>
      <c r="BF47">
        <v>0.84755194121530542</v>
      </c>
      <c r="BG47">
        <v>0.84842800391385498</v>
      </c>
      <c r="BH47">
        <v>0.85186476493403251</v>
      </c>
      <c r="BI47">
        <v>0.85256735430306041</v>
      </c>
      <c r="BJ47">
        <v>0.86066993692665883</v>
      </c>
      <c r="BK47">
        <v>0.87327803745130128</v>
      </c>
      <c r="BL47">
        <v>0.91332332998957733</v>
      </c>
      <c r="BM47">
        <v>0.98075264293641884</v>
      </c>
      <c r="BN47">
        <v>1.0343830998302392</v>
      </c>
      <c r="BO47">
        <v>1.0741031850127494</v>
      </c>
      <c r="BP47">
        <v>1.0882996582148354</v>
      </c>
      <c r="BQ47">
        <v>1.0836056233738527</v>
      </c>
      <c r="BR47">
        <v>1.057249897864289</v>
      </c>
      <c r="BS47">
        <v>1.0337885354350396</v>
      </c>
      <c r="BT47">
        <v>1.0396195257628387</v>
      </c>
      <c r="BU47">
        <v>1.0869658630429728</v>
      </c>
      <c r="BV47">
        <v>1.1681310810309471</v>
      </c>
      <c r="BW47">
        <v>1.3028766820223008</v>
      </c>
      <c r="BX47">
        <v>1.5143835519262951</v>
      </c>
    </row>
    <row r="48" spans="1:76">
      <c r="A48" t="s">
        <v>200</v>
      </c>
      <c r="B48">
        <v>2008</v>
      </c>
      <c r="C48">
        <v>10</v>
      </c>
      <c r="D48">
        <v>30</v>
      </c>
      <c r="E48">
        <v>10.416666666666666</v>
      </c>
      <c r="F48">
        <v>3</v>
      </c>
      <c r="G48">
        <v>0.48426900000000001</v>
      </c>
      <c r="H48">
        <v>12.322533592588327</v>
      </c>
      <c r="I48">
        <v>5.3</v>
      </c>
      <c r="J48">
        <v>1.0537233497136913</v>
      </c>
      <c r="K48">
        <v>0.84436650754379983</v>
      </c>
      <c r="L48">
        <v>0.88972870471510357</v>
      </c>
      <c r="M48">
        <v>2.8588764475103399</v>
      </c>
      <c r="N48">
        <v>2.7205247350076878</v>
      </c>
      <c r="O48">
        <v>2.589793880282631</v>
      </c>
      <c r="P48">
        <v>2.4794835308445653</v>
      </c>
      <c r="Q48">
        <v>2.3706681089989643</v>
      </c>
      <c r="R48">
        <v>2.2678478850098807</v>
      </c>
      <c r="S48">
        <v>2.1840392417307695</v>
      </c>
      <c r="T48">
        <v>2.1034755810513257</v>
      </c>
      <c r="U48">
        <v>2.0224042117874848</v>
      </c>
      <c r="V48">
        <v>1.9271956867072531</v>
      </c>
      <c r="W48">
        <v>1.8311315103642876</v>
      </c>
      <c r="X48">
        <v>1.7504495069908814</v>
      </c>
      <c r="Y48">
        <v>1.6807537016953136</v>
      </c>
      <c r="Z48">
        <v>1.6161140777715166</v>
      </c>
      <c r="AA48">
        <v>1.549877849901744</v>
      </c>
      <c r="AB48">
        <v>1.4833785398898494</v>
      </c>
      <c r="AC48">
        <v>1.4213776877092064</v>
      </c>
      <c r="AD48">
        <v>1.3673031558427726</v>
      </c>
      <c r="AE48">
        <v>1.3162922389802185</v>
      </c>
      <c r="AF48">
        <v>1.2683949420615233</v>
      </c>
      <c r="AG48">
        <v>1.2256592475908286</v>
      </c>
      <c r="AH48">
        <v>1.1838449922484635</v>
      </c>
      <c r="AI48">
        <v>1.1450473098378384</v>
      </c>
      <c r="AJ48">
        <v>1.1066184467876194</v>
      </c>
      <c r="AK48">
        <v>1.0669141062686989</v>
      </c>
      <c r="AL48">
        <v>1.030138237766232</v>
      </c>
      <c r="AM48">
        <v>0.99789779191758765</v>
      </c>
      <c r="AN48">
        <v>0.96726503968933886</v>
      </c>
      <c r="AO48">
        <v>0.93956622169853798</v>
      </c>
      <c r="AP48">
        <v>0.91397864977062371</v>
      </c>
      <c r="AQ48">
        <v>0.88771859911750584</v>
      </c>
      <c r="AR48">
        <v>0.86616517913315172</v>
      </c>
      <c r="AS48">
        <v>0.83563633225541833</v>
      </c>
      <c r="AT48">
        <v>0.81558517408643272</v>
      </c>
      <c r="AU48">
        <v>0.79869989489019866</v>
      </c>
      <c r="AV48">
        <v>0.78875281287173193</v>
      </c>
      <c r="AW48">
        <v>0.78957589463905076</v>
      </c>
      <c r="AX48">
        <v>0.80162002315982406</v>
      </c>
      <c r="AY48">
        <v>0.81817733249288271</v>
      </c>
      <c r="AZ48">
        <v>0.84239897821939858</v>
      </c>
      <c r="BA48">
        <v>0.89427793836104552</v>
      </c>
      <c r="BB48">
        <v>0.9232937301697316</v>
      </c>
      <c r="BC48">
        <v>0.92793743996123879</v>
      </c>
      <c r="BD48">
        <v>0.92654921402443602</v>
      </c>
      <c r="BE48">
        <v>0.92936312956941569</v>
      </c>
      <c r="BF48">
        <v>0.92875177945903509</v>
      </c>
      <c r="BG48">
        <v>0.9285630138049854</v>
      </c>
      <c r="BH48">
        <v>0.93109576369129599</v>
      </c>
      <c r="BI48">
        <v>0.93010286023246946</v>
      </c>
      <c r="BJ48">
        <v>0.93686418996133325</v>
      </c>
      <c r="BK48">
        <v>0.94905522042600077</v>
      </c>
      <c r="BL48">
        <v>0.99069483522222346</v>
      </c>
      <c r="BM48">
        <v>1.0644754873632982</v>
      </c>
      <c r="BN48">
        <v>1.1275183143001919</v>
      </c>
      <c r="BO48">
        <v>1.1759165768807407</v>
      </c>
      <c r="BP48">
        <v>1.1921301973083769</v>
      </c>
      <c r="BQ48">
        <v>1.1814814179440543</v>
      </c>
      <c r="BR48">
        <v>1.141785187303634</v>
      </c>
      <c r="BS48">
        <v>1.1026535593299724</v>
      </c>
      <c r="BT48">
        <v>1.0963696400624821</v>
      </c>
      <c r="BU48">
        <v>1.1354323490738589</v>
      </c>
      <c r="BV48">
        <v>1.2124493617510159</v>
      </c>
      <c r="BW48">
        <v>1.3429783443331837</v>
      </c>
      <c r="BX48">
        <v>1.5517596363256914</v>
      </c>
    </row>
    <row r="49" spans="1:76">
      <c r="A49" t="s">
        <v>201</v>
      </c>
      <c r="B49">
        <v>2008</v>
      </c>
      <c r="C49">
        <v>10</v>
      </c>
      <c r="D49">
        <v>30</v>
      </c>
      <c r="E49">
        <v>10.566666666666666</v>
      </c>
      <c r="F49">
        <v>3</v>
      </c>
      <c r="G49">
        <v>0.59907299999999997</v>
      </c>
      <c r="H49">
        <v>5.7611103729438842</v>
      </c>
      <c r="I49">
        <v>4.2</v>
      </c>
      <c r="J49">
        <v>0.89790752565175802</v>
      </c>
      <c r="K49">
        <v>1.0717791166131394</v>
      </c>
      <c r="L49">
        <v>0.96235853464333099</v>
      </c>
      <c r="M49">
        <v>2.7704115919521346</v>
      </c>
      <c r="N49">
        <v>2.6057951570980142</v>
      </c>
      <c r="O49">
        <v>2.4532370876391489</v>
      </c>
      <c r="P49">
        <v>2.3193669993769035</v>
      </c>
      <c r="Q49">
        <v>2.1925457866888367</v>
      </c>
      <c r="R49">
        <v>2.0747833229793589</v>
      </c>
      <c r="S49">
        <v>1.9730441200917292</v>
      </c>
      <c r="T49">
        <v>1.8777979692141362</v>
      </c>
      <c r="U49">
        <v>1.7867119328745287</v>
      </c>
      <c r="V49">
        <v>1.6912443531168344</v>
      </c>
      <c r="W49">
        <v>1.5989534453605778</v>
      </c>
      <c r="X49">
        <v>1.5180760095367347</v>
      </c>
      <c r="Y49">
        <v>1.4463141891707063</v>
      </c>
      <c r="Z49">
        <v>1.380141913535466</v>
      </c>
      <c r="AA49">
        <v>1.3154480834576887</v>
      </c>
      <c r="AB49">
        <v>1.2529137853581389</v>
      </c>
      <c r="AC49">
        <v>1.1951783882243332</v>
      </c>
      <c r="AD49">
        <v>1.1436114608564449</v>
      </c>
      <c r="AE49">
        <v>1.0956650203271618</v>
      </c>
      <c r="AF49">
        <v>1.0514708077273986</v>
      </c>
      <c r="AG49">
        <v>1.0120043301814829</v>
      </c>
      <c r="AH49">
        <v>0.97528624992353152</v>
      </c>
      <c r="AI49">
        <v>0.94228876829784047</v>
      </c>
      <c r="AJ49">
        <v>0.91063397770344234</v>
      </c>
      <c r="AK49">
        <v>0.87608818018943668</v>
      </c>
      <c r="AL49">
        <v>0.84378569416112748</v>
      </c>
      <c r="AM49">
        <v>0.81534953221033213</v>
      </c>
      <c r="AN49">
        <v>0.78861542282853114</v>
      </c>
      <c r="AO49">
        <v>0.76443863653838195</v>
      </c>
      <c r="AP49">
        <v>0.74284517762938918</v>
      </c>
      <c r="AQ49">
        <v>0.72230545409192715</v>
      </c>
      <c r="AR49">
        <v>0.70385298640049254</v>
      </c>
      <c r="AS49">
        <v>0.68004877561546051</v>
      </c>
      <c r="AT49">
        <v>0.66290969593738192</v>
      </c>
      <c r="AU49">
        <v>0.64973845369768157</v>
      </c>
      <c r="AV49">
        <v>0.64243890251067959</v>
      </c>
      <c r="AW49">
        <v>0.64454526516206911</v>
      </c>
      <c r="AX49">
        <v>0.65804227784544111</v>
      </c>
      <c r="AY49">
        <v>0.6769189120943726</v>
      </c>
      <c r="AZ49">
        <v>0.70413197599145949</v>
      </c>
      <c r="BA49">
        <v>0.75972046494110823</v>
      </c>
      <c r="BB49">
        <v>0.79018840359394349</v>
      </c>
      <c r="BC49">
        <v>0.79367545639038828</v>
      </c>
      <c r="BD49">
        <v>0.79104110085039203</v>
      </c>
      <c r="BE49">
        <v>0.79325540153835905</v>
      </c>
      <c r="BF49">
        <v>0.7937010246492795</v>
      </c>
      <c r="BG49">
        <v>0.79467471868942252</v>
      </c>
      <c r="BH49">
        <v>0.79807989609771879</v>
      </c>
      <c r="BI49">
        <v>0.79951974697207684</v>
      </c>
      <c r="BJ49">
        <v>0.80800701759020654</v>
      </c>
      <c r="BK49">
        <v>0.82016106403918188</v>
      </c>
      <c r="BL49">
        <v>0.85772785385403383</v>
      </c>
      <c r="BM49">
        <v>0.91820358187183082</v>
      </c>
      <c r="BN49">
        <v>0.96229967210269884</v>
      </c>
      <c r="BO49">
        <v>0.99329044931912069</v>
      </c>
      <c r="BP49">
        <v>1.0049564315689181</v>
      </c>
      <c r="BQ49">
        <v>1.0050383663385258</v>
      </c>
      <c r="BR49">
        <v>0.99026632695608563</v>
      </c>
      <c r="BS49">
        <v>0.98045397224606523</v>
      </c>
      <c r="BT49">
        <v>0.99649959371918939</v>
      </c>
      <c r="BU49">
        <v>1.0502662906031484</v>
      </c>
      <c r="BV49">
        <v>1.1338578185082391</v>
      </c>
      <c r="BW49">
        <v>1.2706021323868064</v>
      </c>
      <c r="BX49">
        <v>1.4820725929808529</v>
      </c>
    </row>
    <row r="50" spans="1:76">
      <c r="A50" t="s">
        <v>202</v>
      </c>
      <c r="B50">
        <v>2008</v>
      </c>
      <c r="C50">
        <v>10</v>
      </c>
      <c r="D50">
        <v>30</v>
      </c>
      <c r="E50">
        <v>10.716666666666667</v>
      </c>
      <c r="F50">
        <v>3</v>
      </c>
      <c r="G50">
        <v>0.62351800000000002</v>
      </c>
      <c r="H50">
        <v>4.8025271259005029</v>
      </c>
      <c r="I50">
        <v>3.4</v>
      </c>
      <c r="J50">
        <v>0.80576150687817405</v>
      </c>
      <c r="K50">
        <v>1.3351563556153545</v>
      </c>
      <c r="L50">
        <v>1.0758175970185992</v>
      </c>
      <c r="M50">
        <v>2.6214467676156903</v>
      </c>
      <c r="N50">
        <v>2.4550776867756978</v>
      </c>
      <c r="O50">
        <v>2.3014744213950009</v>
      </c>
      <c r="P50">
        <v>2.1662057292907613</v>
      </c>
      <c r="Q50">
        <v>2.0388848779030915</v>
      </c>
      <c r="R50">
        <v>1.9210938130466233</v>
      </c>
      <c r="S50">
        <v>1.8187567388595034</v>
      </c>
      <c r="T50">
        <v>1.7234156314782512</v>
      </c>
      <c r="U50">
        <v>1.6329807877979707</v>
      </c>
      <c r="V50">
        <v>1.5397875518150572</v>
      </c>
      <c r="W50">
        <v>1.4504091481990768</v>
      </c>
      <c r="X50">
        <v>1.3717116983499007</v>
      </c>
      <c r="Y50">
        <v>1.3017560733692137</v>
      </c>
      <c r="Z50">
        <v>1.2374292608284621</v>
      </c>
      <c r="AA50">
        <v>1.1750575383133546</v>
      </c>
      <c r="AB50">
        <v>1.1152098866445153</v>
      </c>
      <c r="AC50">
        <v>1.060161458050886</v>
      </c>
      <c r="AD50">
        <v>1.0109316779504633</v>
      </c>
      <c r="AE50">
        <v>0.9653699520361485</v>
      </c>
      <c r="AF50">
        <v>0.92362375090395421</v>
      </c>
      <c r="AG50">
        <v>0.88648809785394089</v>
      </c>
      <c r="AH50">
        <v>0.85237394732972238</v>
      </c>
      <c r="AI50">
        <v>0.82206585958668255</v>
      </c>
      <c r="AJ50">
        <v>0.79323697609153032</v>
      </c>
      <c r="AK50">
        <v>0.76121503171533722</v>
      </c>
      <c r="AL50">
        <v>0.73129354775505528</v>
      </c>
      <c r="AM50">
        <v>0.70510056952172573</v>
      </c>
      <c r="AN50">
        <v>0.68060609871986311</v>
      </c>
      <c r="AO50">
        <v>0.65858598464775042</v>
      </c>
      <c r="AP50">
        <v>0.63921393556136974</v>
      </c>
      <c r="AQ50">
        <v>0.62117937645946453</v>
      </c>
      <c r="AR50">
        <v>0.60476099978087849</v>
      </c>
      <c r="AS50">
        <v>0.5836222578992516</v>
      </c>
      <c r="AT50">
        <v>0.56845954885588978</v>
      </c>
      <c r="AU50">
        <v>0.55737386361020369</v>
      </c>
      <c r="AV50">
        <v>0.55192848708985542</v>
      </c>
      <c r="AW50">
        <v>0.55557818258626224</v>
      </c>
      <c r="AX50">
        <v>0.57055600337763601</v>
      </c>
      <c r="AY50">
        <v>0.5910075511149262</v>
      </c>
      <c r="AZ50">
        <v>0.61984998851513151</v>
      </c>
      <c r="BA50">
        <v>0.67706489704851003</v>
      </c>
      <c r="BB50">
        <v>0.70887999854196038</v>
      </c>
      <c r="BC50">
        <v>0.7133534567159765</v>
      </c>
      <c r="BD50">
        <v>0.71169589597708505</v>
      </c>
      <c r="BE50">
        <v>0.71496573314857659</v>
      </c>
      <c r="BF50">
        <v>0.71674026045909867</v>
      </c>
      <c r="BG50">
        <v>0.71904609091451666</v>
      </c>
      <c r="BH50">
        <v>0.72371418808419474</v>
      </c>
      <c r="BI50">
        <v>0.72667649717579308</v>
      </c>
      <c r="BJ50">
        <v>0.73653391531846135</v>
      </c>
      <c r="BK50">
        <v>0.74973962305569652</v>
      </c>
      <c r="BL50">
        <v>0.78759638092720441</v>
      </c>
      <c r="BM50">
        <v>0.84674430820965685</v>
      </c>
      <c r="BN50">
        <v>0.88860184169855505</v>
      </c>
      <c r="BO50">
        <v>0.91764147057026446</v>
      </c>
      <c r="BP50">
        <v>0.9295687906728165</v>
      </c>
      <c r="BQ50">
        <v>0.93251517038207177</v>
      </c>
      <c r="BR50">
        <v>0.92303438406715621</v>
      </c>
      <c r="BS50">
        <v>0.91923857579153878</v>
      </c>
      <c r="BT50">
        <v>0.94005411634144431</v>
      </c>
      <c r="BU50">
        <v>0.9972136713371671</v>
      </c>
      <c r="BV50">
        <v>1.0827574307532408</v>
      </c>
      <c r="BW50">
        <v>1.2212785025563946</v>
      </c>
      <c r="BX50">
        <v>1.4337696805452862</v>
      </c>
    </row>
    <row r="51" spans="1:76">
      <c r="A51" t="s">
        <v>203</v>
      </c>
      <c r="B51">
        <v>2008</v>
      </c>
      <c r="C51">
        <v>10</v>
      </c>
      <c r="D51">
        <v>30</v>
      </c>
      <c r="E51">
        <v>10.95</v>
      </c>
      <c r="F51">
        <v>3</v>
      </c>
      <c r="G51">
        <v>0.46566000000000002</v>
      </c>
      <c r="H51">
        <v>10.809788844582819</v>
      </c>
      <c r="I51">
        <v>5</v>
      </c>
      <c r="J51">
        <v>1.003856583912331</v>
      </c>
      <c r="K51">
        <v>0.89594586126232212</v>
      </c>
      <c r="L51">
        <v>0.89940115165718593</v>
      </c>
      <c r="M51">
        <v>2.6932089677203419</v>
      </c>
      <c r="N51">
        <v>2.5611495299689109</v>
      </c>
      <c r="O51">
        <v>2.4366230143642564</v>
      </c>
      <c r="P51">
        <v>2.331109078750031</v>
      </c>
      <c r="Q51">
        <v>2.2274551593649461</v>
      </c>
      <c r="R51">
        <v>2.1296716585737405</v>
      </c>
      <c r="S51">
        <v>2.0494545587571364</v>
      </c>
      <c r="T51">
        <v>1.9725435961918514</v>
      </c>
      <c r="U51">
        <v>1.8955709352585148</v>
      </c>
      <c r="V51">
        <v>1.8061444909231334</v>
      </c>
      <c r="W51">
        <v>1.7162705429871683</v>
      </c>
      <c r="X51">
        <v>1.6404044402052169</v>
      </c>
      <c r="Y51">
        <v>1.5746664779845305</v>
      </c>
      <c r="Z51">
        <v>1.5137164727716654</v>
      </c>
      <c r="AA51">
        <v>1.4515226230527185</v>
      </c>
      <c r="AB51">
        <v>1.3892973638407125</v>
      </c>
      <c r="AC51">
        <v>1.3313393347961142</v>
      </c>
      <c r="AD51">
        <v>1.2806381496883046</v>
      </c>
      <c r="AE51">
        <v>1.232879295507002</v>
      </c>
      <c r="AF51">
        <v>1.1881493195736204</v>
      </c>
      <c r="AG51">
        <v>1.1482718649879979</v>
      </c>
      <c r="AH51">
        <v>1.1095295643434195</v>
      </c>
      <c r="AI51">
        <v>1.0737806666488821</v>
      </c>
      <c r="AJ51">
        <v>1.0384660756284039</v>
      </c>
      <c r="AK51">
        <v>1.0014181531672373</v>
      </c>
      <c r="AL51">
        <v>0.96701998422271218</v>
      </c>
      <c r="AM51">
        <v>0.93688498451065383</v>
      </c>
      <c r="AN51">
        <v>0.90827415477234108</v>
      </c>
      <c r="AO51">
        <v>0.88241701618356094</v>
      </c>
      <c r="AP51">
        <v>0.85868101857354207</v>
      </c>
      <c r="AQ51">
        <v>0.83456532427118901</v>
      </c>
      <c r="AR51">
        <v>0.81452447594067545</v>
      </c>
      <c r="AS51">
        <v>0.78624498508101515</v>
      </c>
      <c r="AT51">
        <v>0.7675501921002672</v>
      </c>
      <c r="AU51">
        <v>0.75212818306221041</v>
      </c>
      <c r="AV51">
        <v>0.74334893880303621</v>
      </c>
      <c r="AW51">
        <v>0.74496178116613498</v>
      </c>
      <c r="AX51">
        <v>0.75772291060668395</v>
      </c>
      <c r="AY51">
        <v>0.77509812012514478</v>
      </c>
      <c r="AZ51">
        <v>0.80017766647940991</v>
      </c>
      <c r="BA51">
        <v>0.85281534461023267</v>
      </c>
      <c r="BB51">
        <v>0.88223519789199667</v>
      </c>
      <c r="BC51">
        <v>0.88689170566357456</v>
      </c>
      <c r="BD51">
        <v>0.88552235639855681</v>
      </c>
      <c r="BE51">
        <v>0.88843819597110185</v>
      </c>
      <c r="BF51">
        <v>0.88828655426172509</v>
      </c>
      <c r="BG51">
        <v>0.88855988541958353</v>
      </c>
      <c r="BH51">
        <v>0.89145668226368846</v>
      </c>
      <c r="BI51">
        <v>0.89117129495590819</v>
      </c>
      <c r="BJ51">
        <v>0.89841681952102037</v>
      </c>
      <c r="BK51">
        <v>0.91066454331730284</v>
      </c>
      <c r="BL51">
        <v>0.95125612780402169</v>
      </c>
      <c r="BM51">
        <v>1.0217651249322546</v>
      </c>
      <c r="BN51">
        <v>1.0804243509725071</v>
      </c>
      <c r="BO51">
        <v>1.1248753031409648</v>
      </c>
      <c r="BP51">
        <v>1.1401130373525432</v>
      </c>
      <c r="BQ51">
        <v>1.1319285588105421</v>
      </c>
      <c r="BR51">
        <v>1.0979273585909457</v>
      </c>
      <c r="BS51">
        <v>1.0654088064868188</v>
      </c>
      <c r="BT51">
        <v>1.0639880036593032</v>
      </c>
      <c r="BU51">
        <v>1.1059270146593168</v>
      </c>
      <c r="BV51">
        <v>1.1837873450462175</v>
      </c>
      <c r="BW51">
        <v>1.3146399556251176</v>
      </c>
      <c r="BX51">
        <v>1.5223532904139352</v>
      </c>
    </row>
    <row r="52" spans="1:76">
      <c r="A52" t="s">
        <v>206</v>
      </c>
      <c r="B52">
        <v>2008</v>
      </c>
      <c r="C52">
        <v>10</v>
      </c>
      <c r="D52">
        <v>30</v>
      </c>
      <c r="E52">
        <v>11.2</v>
      </c>
      <c r="F52">
        <v>3</v>
      </c>
      <c r="G52">
        <v>0.58724299999999996</v>
      </c>
      <c r="H52">
        <v>6.1539406764412563</v>
      </c>
      <c r="I52">
        <v>4.5999999999999996</v>
      </c>
      <c r="J52">
        <v>0.93801536967095656</v>
      </c>
      <c r="K52">
        <v>0.97493060411323651</v>
      </c>
      <c r="L52">
        <v>0.91449989102080653</v>
      </c>
      <c r="M52">
        <v>2.8218020610655379</v>
      </c>
      <c r="N52">
        <v>2.659403992659509</v>
      </c>
      <c r="O52">
        <v>2.508643110601283</v>
      </c>
      <c r="P52">
        <v>2.3765089673550257</v>
      </c>
      <c r="Q52">
        <v>2.2509805996021948</v>
      </c>
      <c r="R52">
        <v>2.1342212916559822</v>
      </c>
      <c r="S52">
        <v>2.0335412890203468</v>
      </c>
      <c r="T52">
        <v>1.9390798606543647</v>
      </c>
      <c r="U52">
        <v>1.8484322274361049</v>
      </c>
      <c r="V52">
        <v>1.7527952884361919</v>
      </c>
      <c r="W52">
        <v>1.6600437965544934</v>
      </c>
      <c r="X52">
        <v>1.5788781830089267</v>
      </c>
      <c r="Y52">
        <v>1.5068822657325647</v>
      </c>
      <c r="Z52">
        <v>1.4404015675556567</v>
      </c>
      <c r="AA52">
        <v>1.3751923705066627</v>
      </c>
      <c r="AB52">
        <v>1.3119755017088566</v>
      </c>
      <c r="AC52">
        <v>1.2535088218746795</v>
      </c>
      <c r="AD52">
        <v>1.2012874465561192</v>
      </c>
      <c r="AE52">
        <v>1.1526317130896739</v>
      </c>
      <c r="AF52">
        <v>1.1076676638713177</v>
      </c>
      <c r="AG52">
        <v>1.0674320799743355</v>
      </c>
      <c r="AH52">
        <v>1.0298105649779441</v>
      </c>
      <c r="AI52">
        <v>0.99584127028838221</v>
      </c>
      <c r="AJ52">
        <v>0.96314976902435068</v>
      </c>
      <c r="AK52">
        <v>0.92771280216906171</v>
      </c>
      <c r="AL52">
        <v>0.89455454581725746</v>
      </c>
      <c r="AM52">
        <v>0.8652806597077316</v>
      </c>
      <c r="AN52">
        <v>0.83769560536521026</v>
      </c>
      <c r="AO52">
        <v>0.81267645791476772</v>
      </c>
      <c r="AP52">
        <v>0.79019011791937244</v>
      </c>
      <c r="AQ52">
        <v>0.76863669623053044</v>
      </c>
      <c r="AR52">
        <v>0.74933580658381627</v>
      </c>
      <c r="AS52">
        <v>0.72448636974628233</v>
      </c>
      <c r="AT52">
        <v>0.70650840996464437</v>
      </c>
      <c r="AU52">
        <v>0.69241805146195556</v>
      </c>
      <c r="AV52">
        <v>0.68423561925781984</v>
      </c>
      <c r="AW52">
        <v>0.68549522949886499</v>
      </c>
      <c r="AX52">
        <v>0.69806739787056915</v>
      </c>
      <c r="AY52">
        <v>0.71593554052950437</v>
      </c>
      <c r="AZ52">
        <v>0.74204473051649567</v>
      </c>
      <c r="BA52">
        <v>0.79627184302261977</v>
      </c>
      <c r="BB52">
        <v>0.82572022837727643</v>
      </c>
      <c r="BC52">
        <v>0.82857923061196881</v>
      </c>
      <c r="BD52">
        <v>0.82537805541695453</v>
      </c>
      <c r="BE52">
        <v>0.82695101574087126</v>
      </c>
      <c r="BF52">
        <v>0.82666505557019421</v>
      </c>
      <c r="BG52">
        <v>0.82690200096854827</v>
      </c>
      <c r="BH52">
        <v>0.82957621399755399</v>
      </c>
      <c r="BI52">
        <v>0.83020193833466782</v>
      </c>
      <c r="BJ52">
        <v>0.83787196852130563</v>
      </c>
      <c r="BK52">
        <v>0.84930096374231367</v>
      </c>
      <c r="BL52">
        <v>0.88620631536934968</v>
      </c>
      <c r="BM52">
        <v>0.94644427505030027</v>
      </c>
      <c r="BN52">
        <v>0.99081358770109551</v>
      </c>
      <c r="BO52">
        <v>1.0220862022750044</v>
      </c>
      <c r="BP52">
        <v>1.0333431632416146</v>
      </c>
      <c r="BQ52">
        <v>1.0321010198721337</v>
      </c>
      <c r="BR52">
        <v>1.0151903388288435</v>
      </c>
      <c r="BS52">
        <v>1.0029085445595414</v>
      </c>
      <c r="BT52">
        <v>1.0167351861266498</v>
      </c>
      <c r="BU52">
        <v>1.0684745357470971</v>
      </c>
      <c r="BV52">
        <v>1.1503281543440316</v>
      </c>
      <c r="BW52">
        <v>1.2849099642773465</v>
      </c>
      <c r="BX52">
        <v>1.493821088479383</v>
      </c>
    </row>
    <row r="53" spans="1:76">
      <c r="A53" t="s">
        <v>207</v>
      </c>
      <c r="B53">
        <v>2008</v>
      </c>
      <c r="C53">
        <v>10</v>
      </c>
      <c r="D53">
        <v>30</v>
      </c>
      <c r="E53">
        <v>11.366666666666667</v>
      </c>
      <c r="F53">
        <v>3</v>
      </c>
      <c r="G53">
        <v>0.57494999999999996</v>
      </c>
      <c r="H53">
        <v>6.8615366427219593</v>
      </c>
      <c r="I53">
        <v>4</v>
      </c>
      <c r="J53">
        <v>0.87913773891254643</v>
      </c>
      <c r="K53">
        <v>1.1296941066574679</v>
      </c>
      <c r="L53">
        <v>0.99315672258967547</v>
      </c>
      <c r="M53">
        <v>2.6640346560754549</v>
      </c>
      <c r="N53">
        <v>2.5087865460147962</v>
      </c>
      <c r="O53">
        <v>2.3645219593943585</v>
      </c>
      <c r="P53">
        <v>2.238944720748647</v>
      </c>
      <c r="Q53">
        <v>2.1192045562654807</v>
      </c>
      <c r="R53">
        <v>2.0077563890501766</v>
      </c>
      <c r="S53">
        <v>1.9126100306530551</v>
      </c>
      <c r="T53">
        <v>1.8231948458239382</v>
      </c>
      <c r="U53">
        <v>1.7369475765288351</v>
      </c>
      <c r="V53">
        <v>1.6444875299312471</v>
      </c>
      <c r="W53">
        <v>1.5543491871319506</v>
      </c>
      <c r="X53">
        <v>1.4761573348200476</v>
      </c>
      <c r="Y53">
        <v>1.4072577724254822</v>
      </c>
      <c r="Z53">
        <v>1.3437236296926662</v>
      </c>
      <c r="AA53">
        <v>1.2810226829377331</v>
      </c>
      <c r="AB53">
        <v>1.2199530340750067</v>
      </c>
      <c r="AC53">
        <v>1.1635190741701862</v>
      </c>
      <c r="AD53">
        <v>1.1134579104920916</v>
      </c>
      <c r="AE53">
        <v>1.0668255995566847</v>
      </c>
      <c r="AF53">
        <v>1.0237418668585079</v>
      </c>
      <c r="AG53">
        <v>0.98537265001690377</v>
      </c>
      <c r="AH53">
        <v>0.94934386787811564</v>
      </c>
      <c r="AI53">
        <v>0.91682907306204831</v>
      </c>
      <c r="AJ53">
        <v>0.88542522164780257</v>
      </c>
      <c r="AK53">
        <v>0.85141343312865536</v>
      </c>
      <c r="AL53">
        <v>0.81971558483849849</v>
      </c>
      <c r="AM53">
        <v>0.79194263899776507</v>
      </c>
      <c r="AN53">
        <v>0.76581104212042495</v>
      </c>
      <c r="AO53">
        <v>0.74225879475612466</v>
      </c>
      <c r="AP53">
        <v>0.72115590257024309</v>
      </c>
      <c r="AQ53">
        <v>0.70075396836932158</v>
      </c>
      <c r="AR53">
        <v>0.68288971824114053</v>
      </c>
      <c r="AS53">
        <v>0.65902323852480227</v>
      </c>
      <c r="AT53">
        <v>0.64246060624263224</v>
      </c>
      <c r="AU53">
        <v>0.62966594370576512</v>
      </c>
      <c r="AV53">
        <v>0.62287184125122375</v>
      </c>
      <c r="AW53">
        <v>0.62562913346701654</v>
      </c>
      <c r="AX53">
        <v>0.63960909936000332</v>
      </c>
      <c r="AY53">
        <v>0.65872554697209817</v>
      </c>
      <c r="AZ53">
        <v>0.68594451441610227</v>
      </c>
      <c r="BA53">
        <v>0.74109998567970736</v>
      </c>
      <c r="BB53">
        <v>0.7717838498141758</v>
      </c>
      <c r="BC53">
        <v>0.77621972808947937</v>
      </c>
      <c r="BD53">
        <v>0.77459867440707453</v>
      </c>
      <c r="BE53">
        <v>0.77764635340766697</v>
      </c>
      <c r="BF53">
        <v>0.77862772324629215</v>
      </c>
      <c r="BG53">
        <v>0.78010153143466199</v>
      </c>
      <c r="BH53">
        <v>0.78402506711089626</v>
      </c>
      <c r="BI53">
        <v>0.7857077245400399</v>
      </c>
      <c r="BJ53">
        <v>0.79448821173270356</v>
      </c>
      <c r="BK53">
        <v>0.80721328639304102</v>
      </c>
      <c r="BL53">
        <v>0.84582631138687359</v>
      </c>
      <c r="BM53">
        <v>0.90880644189218107</v>
      </c>
      <c r="BN53">
        <v>0.95659915365254167</v>
      </c>
      <c r="BO53">
        <v>0.9911281629371661</v>
      </c>
      <c r="BP53">
        <v>1.0041629630047728</v>
      </c>
      <c r="BQ53">
        <v>1.0029273588866019</v>
      </c>
      <c r="BR53">
        <v>0.98438345525725823</v>
      </c>
      <c r="BS53">
        <v>0.96994247360033969</v>
      </c>
      <c r="BT53">
        <v>0.98238099236437249</v>
      </c>
      <c r="BU53">
        <v>1.0335632355823106</v>
      </c>
      <c r="BV53">
        <v>1.1157631977872966</v>
      </c>
      <c r="BW53">
        <v>1.2506620149054251</v>
      </c>
      <c r="BX53">
        <v>1.4602026140453299</v>
      </c>
    </row>
    <row r="54" spans="1:76">
      <c r="A54" t="s">
        <v>208</v>
      </c>
      <c r="B54">
        <v>2008</v>
      </c>
      <c r="C54">
        <v>10</v>
      </c>
      <c r="D54">
        <v>30</v>
      </c>
      <c r="E54">
        <v>11.566666666666666</v>
      </c>
      <c r="F54">
        <v>3</v>
      </c>
      <c r="G54">
        <v>0.62958400000000003</v>
      </c>
      <c r="H54">
        <v>8.4429868244818156</v>
      </c>
      <c r="I54">
        <v>4.3</v>
      </c>
      <c r="J54">
        <v>0.93147250252435176</v>
      </c>
      <c r="K54">
        <v>1.0511323020451457</v>
      </c>
      <c r="L54">
        <v>0.97910083587017471</v>
      </c>
      <c r="M54">
        <v>2.9082355790483971</v>
      </c>
      <c r="N54">
        <v>2.7395044865862666</v>
      </c>
      <c r="O54">
        <v>2.582481771470051</v>
      </c>
      <c r="P54">
        <v>2.4462260719611493</v>
      </c>
      <c r="Q54">
        <v>2.3159401986167989</v>
      </c>
      <c r="R54">
        <v>2.1945558538875316</v>
      </c>
      <c r="S54">
        <v>2.0914498040440312</v>
      </c>
      <c r="T54">
        <v>1.9944009479159632</v>
      </c>
      <c r="U54">
        <v>1.900392612089856</v>
      </c>
      <c r="V54">
        <v>1.7986980237033499</v>
      </c>
      <c r="W54">
        <v>1.6991771053707261</v>
      </c>
      <c r="X54">
        <v>1.6133519578316933</v>
      </c>
      <c r="Y54">
        <v>1.5379801164667104</v>
      </c>
      <c r="Z54">
        <v>1.4684788895794663</v>
      </c>
      <c r="AA54">
        <v>1.3996338932087684</v>
      </c>
      <c r="AB54">
        <v>1.332353283300783</v>
      </c>
      <c r="AC54">
        <v>1.270116633162345</v>
      </c>
      <c r="AD54">
        <v>1.2151244205007263</v>
      </c>
      <c r="AE54">
        <v>1.1638233995577529</v>
      </c>
      <c r="AF54">
        <v>1.1162760551572393</v>
      </c>
      <c r="AG54">
        <v>1.073875368103655</v>
      </c>
      <c r="AH54">
        <v>1.0336603757456961</v>
      </c>
      <c r="AI54">
        <v>0.9970492407806375</v>
      </c>
      <c r="AJ54">
        <v>0.96155531409671102</v>
      </c>
      <c r="AK54">
        <v>0.92409899509464499</v>
      </c>
      <c r="AL54">
        <v>0.88932593246493918</v>
      </c>
      <c r="AM54">
        <v>0.8588102055142206</v>
      </c>
      <c r="AN54">
        <v>0.83007283842509727</v>
      </c>
      <c r="AO54">
        <v>0.80414354213131989</v>
      </c>
      <c r="AP54">
        <v>0.78066450624803152</v>
      </c>
      <c r="AQ54">
        <v>0.75757503768634182</v>
      </c>
      <c r="AR54">
        <v>0.7377691446722443</v>
      </c>
      <c r="AS54">
        <v>0.71120475812910566</v>
      </c>
      <c r="AT54">
        <v>0.69292987174543563</v>
      </c>
      <c r="AU54">
        <v>0.67827970018487105</v>
      </c>
      <c r="AV54">
        <v>0.66993396382738701</v>
      </c>
      <c r="AW54">
        <v>0.67150078359262344</v>
      </c>
      <c r="AX54">
        <v>0.68427709350839927</v>
      </c>
      <c r="AY54">
        <v>0.70204522779708944</v>
      </c>
      <c r="AZ54">
        <v>0.72781028085332156</v>
      </c>
      <c r="BA54">
        <v>0.78135488246276519</v>
      </c>
      <c r="BB54">
        <v>0.81111815811211407</v>
      </c>
      <c r="BC54">
        <v>0.81537493764627023</v>
      </c>
      <c r="BD54">
        <v>0.8136449761298109</v>
      </c>
      <c r="BE54">
        <v>0.816450770909394</v>
      </c>
      <c r="BF54">
        <v>0.81681322796713163</v>
      </c>
      <c r="BG54">
        <v>0.81766974866898723</v>
      </c>
      <c r="BH54">
        <v>0.82107079679738004</v>
      </c>
      <c r="BI54">
        <v>0.82186979248302006</v>
      </c>
      <c r="BJ54">
        <v>0.8299550984524503</v>
      </c>
      <c r="BK54">
        <v>0.8424377745179995</v>
      </c>
      <c r="BL54">
        <v>0.88179828822157402</v>
      </c>
      <c r="BM54">
        <v>0.94780678174525979</v>
      </c>
      <c r="BN54">
        <v>1.0000604662253527</v>
      </c>
      <c r="BO54">
        <v>1.0386960166158634</v>
      </c>
      <c r="BP54">
        <v>1.0526807417253981</v>
      </c>
      <c r="BQ54">
        <v>1.0486290488810379</v>
      </c>
      <c r="BR54">
        <v>1.0237749686349227</v>
      </c>
      <c r="BS54">
        <v>1.0019370076236485</v>
      </c>
      <c r="BT54">
        <v>1.00869178098895</v>
      </c>
      <c r="BU54">
        <v>1.056047018201437</v>
      </c>
      <c r="BV54">
        <v>1.1364093113630784</v>
      </c>
      <c r="BW54">
        <v>1.269506082950729</v>
      </c>
      <c r="BX54">
        <v>1.4780410808800719</v>
      </c>
    </row>
    <row r="55" spans="1:76">
      <c r="A55" t="s">
        <v>209</v>
      </c>
      <c r="B55">
        <v>2008</v>
      </c>
      <c r="C55">
        <v>10</v>
      </c>
      <c r="D55">
        <v>30</v>
      </c>
      <c r="E55">
        <v>11.733333333333333</v>
      </c>
      <c r="F55">
        <v>3</v>
      </c>
      <c r="G55">
        <v>0.53682600000000003</v>
      </c>
      <c r="H55">
        <v>10.750235562618446</v>
      </c>
      <c r="I55">
        <v>5.9</v>
      </c>
      <c r="J55">
        <v>1.103737142500244</v>
      </c>
      <c r="K55">
        <v>0.75417735514272544</v>
      </c>
      <c r="L55">
        <v>0.83241355890362345</v>
      </c>
      <c r="M55">
        <v>3.079659966755445</v>
      </c>
      <c r="N55">
        <v>2.9257345714945808</v>
      </c>
      <c r="O55">
        <v>2.781082458233247</v>
      </c>
      <c r="P55">
        <v>2.6569432059221296</v>
      </c>
      <c r="Q55">
        <v>2.5361467298619949</v>
      </c>
      <c r="R55">
        <v>2.4225449922661024</v>
      </c>
      <c r="S55">
        <v>2.3276298572015381</v>
      </c>
      <c r="T55">
        <v>2.2371385015848424</v>
      </c>
      <c r="U55">
        <v>2.147632389062319</v>
      </c>
      <c r="V55">
        <v>2.0467195163040852</v>
      </c>
      <c r="W55">
        <v>1.9462390908702829</v>
      </c>
      <c r="X55">
        <v>1.8604589132354319</v>
      </c>
      <c r="Y55">
        <v>1.7854651815119544</v>
      </c>
      <c r="Z55">
        <v>1.7158974069858477</v>
      </c>
      <c r="AA55">
        <v>1.6457139103394889</v>
      </c>
      <c r="AB55">
        <v>1.5760710625353278</v>
      </c>
      <c r="AC55">
        <v>1.5111900378113685</v>
      </c>
      <c r="AD55">
        <v>1.4539891537272971</v>
      </c>
      <c r="AE55">
        <v>1.4001535145264401</v>
      </c>
      <c r="AF55">
        <v>1.3497361232150062</v>
      </c>
      <c r="AG55">
        <v>1.3045075276047426</v>
      </c>
      <c r="AH55">
        <v>1.2607589023308803</v>
      </c>
      <c r="AI55">
        <v>1.2202998843139032</v>
      </c>
      <c r="AJ55">
        <v>1.1805665868110724</v>
      </c>
      <c r="AK55">
        <v>1.1393663473301436</v>
      </c>
      <c r="AL55">
        <v>1.1010329074314849</v>
      </c>
      <c r="AM55">
        <v>1.0671376494761202</v>
      </c>
      <c r="AN55">
        <v>1.0349531534638299</v>
      </c>
      <c r="AO55">
        <v>1.0056693373130565</v>
      </c>
      <c r="AP55">
        <v>0.97864678538840733</v>
      </c>
      <c r="AQ55">
        <v>0.95141090315065724</v>
      </c>
      <c r="AR55">
        <v>0.92831285353825188</v>
      </c>
      <c r="AS55">
        <v>0.89723013291388165</v>
      </c>
      <c r="AT55">
        <v>0.87568827562688378</v>
      </c>
      <c r="AU55">
        <v>0.85748607643439123</v>
      </c>
      <c r="AV55">
        <v>0.84593865400442658</v>
      </c>
      <c r="AW55">
        <v>0.84477048002213895</v>
      </c>
      <c r="AX55">
        <v>0.85477921205463403</v>
      </c>
      <c r="AY55">
        <v>0.86951153238417156</v>
      </c>
      <c r="AZ55">
        <v>0.89203775975158395</v>
      </c>
      <c r="BA55">
        <v>0.94212825366291142</v>
      </c>
      <c r="BB55">
        <v>0.96919051068972495</v>
      </c>
      <c r="BC55">
        <v>0.97163264580380382</v>
      </c>
      <c r="BD55">
        <v>0.96812771210939097</v>
      </c>
      <c r="BE55">
        <v>0.96895212780540185</v>
      </c>
      <c r="BF55">
        <v>0.96678224015620584</v>
      </c>
      <c r="BG55">
        <v>0.96508192219405475</v>
      </c>
      <c r="BH55">
        <v>0.96603628325225022</v>
      </c>
      <c r="BI55">
        <v>0.96386964503353778</v>
      </c>
      <c r="BJ55">
        <v>0.96924140964198835</v>
      </c>
      <c r="BK55">
        <v>0.97961833919924257</v>
      </c>
      <c r="BL55">
        <v>1.0182478873667431</v>
      </c>
      <c r="BM55">
        <v>1.0866454316248035</v>
      </c>
      <c r="BN55">
        <v>1.1432033543956175</v>
      </c>
      <c r="BO55">
        <v>1.1856330562549071</v>
      </c>
      <c r="BP55">
        <v>1.199074716422166</v>
      </c>
      <c r="BQ55">
        <v>1.1893202531229337</v>
      </c>
      <c r="BR55">
        <v>1.1539725190923737</v>
      </c>
      <c r="BS55">
        <v>1.1201558452267366</v>
      </c>
      <c r="BT55">
        <v>1.117291383314825</v>
      </c>
      <c r="BU55">
        <v>1.1575939458852536</v>
      </c>
      <c r="BV55">
        <v>1.2336414323017686</v>
      </c>
      <c r="BW55">
        <v>1.3625107673247898</v>
      </c>
      <c r="BX55">
        <v>1.5679622508848077</v>
      </c>
    </row>
    <row r="56" spans="1:76">
      <c r="A56" t="s">
        <v>210</v>
      </c>
      <c r="B56">
        <v>2008</v>
      </c>
      <c r="C56">
        <v>10</v>
      </c>
      <c r="D56">
        <v>30</v>
      </c>
      <c r="E56">
        <v>12.349999999999998</v>
      </c>
      <c r="F56">
        <v>3</v>
      </c>
      <c r="G56">
        <v>0.51502899999999996</v>
      </c>
      <c r="H56">
        <v>6.164929856220617</v>
      </c>
      <c r="I56">
        <v>3.9</v>
      </c>
      <c r="J56">
        <v>0.85603347923441098</v>
      </c>
      <c r="K56">
        <v>1.1564454497474739</v>
      </c>
      <c r="L56">
        <v>0.98995602189213328</v>
      </c>
      <c r="M56">
        <v>2.4802657251737141</v>
      </c>
      <c r="N56">
        <v>2.3385916591033458</v>
      </c>
      <c r="O56">
        <v>2.2068670615318822</v>
      </c>
      <c r="P56">
        <v>2.0922784051574626</v>
      </c>
      <c r="Q56">
        <v>1.9828723564886157</v>
      </c>
      <c r="R56">
        <v>1.8809529163279535</v>
      </c>
      <c r="S56">
        <v>1.7939922796436214</v>
      </c>
      <c r="T56">
        <v>1.7121751101224674</v>
      </c>
      <c r="U56">
        <v>1.6331774679628706</v>
      </c>
      <c r="V56">
        <v>1.5482290957902469</v>
      </c>
      <c r="W56">
        <v>1.4653323613655533</v>
      </c>
      <c r="X56">
        <v>1.393316333260644</v>
      </c>
      <c r="Y56">
        <v>1.3298144271345396</v>
      </c>
      <c r="Z56">
        <v>1.2712085823299204</v>
      </c>
      <c r="AA56">
        <v>1.2132807186575207</v>
      </c>
      <c r="AB56">
        <v>1.1568024247561217</v>
      </c>
      <c r="AC56">
        <v>1.1045953400960218</v>
      </c>
      <c r="AD56">
        <v>1.0582108838684805</v>
      </c>
      <c r="AE56">
        <v>1.0149876106326436</v>
      </c>
      <c r="AF56">
        <v>0.97508826993549924</v>
      </c>
      <c r="AG56">
        <v>0.93959777430138858</v>
      </c>
      <c r="AH56">
        <v>0.90641472099479703</v>
      </c>
      <c r="AI56">
        <v>0.87661996170953183</v>
      </c>
      <c r="AJ56">
        <v>0.84784152155775705</v>
      </c>
      <c r="AK56">
        <v>0.81603909381445328</v>
      </c>
      <c r="AL56">
        <v>0.78631349011749319</v>
      </c>
      <c r="AM56">
        <v>0.76031649979067184</v>
      </c>
      <c r="AN56">
        <v>0.7358437065583161</v>
      </c>
      <c r="AO56">
        <v>0.71380627356117599</v>
      </c>
      <c r="AP56">
        <v>0.69418808181143898</v>
      </c>
      <c r="AQ56">
        <v>0.67537687743803421</v>
      </c>
      <c r="AR56">
        <v>0.65872774490521113</v>
      </c>
      <c r="AS56">
        <v>0.63634232014130276</v>
      </c>
      <c r="AT56">
        <v>0.62082219799394944</v>
      </c>
      <c r="AU56">
        <v>0.60913699811841537</v>
      </c>
      <c r="AV56">
        <v>0.60332626641454068</v>
      </c>
      <c r="AW56">
        <v>0.6069396101307547</v>
      </c>
      <c r="AX56">
        <v>0.6218303068384714</v>
      </c>
      <c r="AY56">
        <v>0.64192264653353748</v>
      </c>
      <c r="AZ56">
        <v>0.67018316165621894</v>
      </c>
      <c r="BA56">
        <v>0.72658892379218032</v>
      </c>
      <c r="BB56">
        <v>0.75801868447976395</v>
      </c>
      <c r="BC56">
        <v>0.7626812258288771</v>
      </c>
      <c r="BD56">
        <v>0.76120426124544871</v>
      </c>
      <c r="BE56">
        <v>0.76447199799614851</v>
      </c>
      <c r="BF56">
        <v>0.76582519699088381</v>
      </c>
      <c r="BG56">
        <v>0.76766220895111137</v>
      </c>
      <c r="BH56">
        <v>0.77190912857306382</v>
      </c>
      <c r="BI56">
        <v>0.77406174309023634</v>
      </c>
      <c r="BJ56">
        <v>0.78325617903825306</v>
      </c>
      <c r="BK56">
        <v>0.79619958968947868</v>
      </c>
      <c r="BL56">
        <v>0.83471094702836501</v>
      </c>
      <c r="BM56">
        <v>0.89665939304575115</v>
      </c>
      <c r="BN56">
        <v>0.94266255547862743</v>
      </c>
      <c r="BO56">
        <v>0.97548790873479052</v>
      </c>
      <c r="BP56">
        <v>0.98816250715948994</v>
      </c>
      <c r="BQ56">
        <v>0.98823362626430922</v>
      </c>
      <c r="BR56">
        <v>0.97251966105683985</v>
      </c>
      <c r="BS56">
        <v>0.96143355609046743</v>
      </c>
      <c r="BT56">
        <v>0.97657799654196098</v>
      </c>
      <c r="BU56">
        <v>1.0298171623327805</v>
      </c>
      <c r="BV56">
        <v>1.1133206171270702</v>
      </c>
      <c r="BW56">
        <v>1.2497987357692482</v>
      </c>
      <c r="BX56">
        <v>1.4609636598266473</v>
      </c>
    </row>
    <row r="57" spans="1:76">
      <c r="A57" t="s">
        <v>211</v>
      </c>
      <c r="B57">
        <v>2008</v>
      </c>
      <c r="C57">
        <v>10</v>
      </c>
      <c r="D57">
        <v>30</v>
      </c>
      <c r="E57">
        <v>13.200000000000001</v>
      </c>
      <c r="F57">
        <v>3</v>
      </c>
      <c r="G57">
        <v>0.64972300000000005</v>
      </c>
      <c r="H57">
        <v>6.940277540653196</v>
      </c>
      <c r="I57">
        <v>7.2</v>
      </c>
      <c r="J57">
        <v>1.2313628085009722</v>
      </c>
      <c r="K57">
        <v>0.60830404302778085</v>
      </c>
      <c r="L57">
        <v>0.74904297484518445</v>
      </c>
      <c r="M57">
        <v>3.6694202093199957</v>
      </c>
      <c r="N57">
        <v>3.4733273405364002</v>
      </c>
      <c r="O57">
        <v>3.2908190339429497</v>
      </c>
      <c r="P57">
        <v>3.1296795759282117</v>
      </c>
      <c r="Q57">
        <v>2.9764764966090409</v>
      </c>
      <c r="R57">
        <v>2.8335975437610386</v>
      </c>
      <c r="S57">
        <v>2.7091876793022953</v>
      </c>
      <c r="T57">
        <v>2.5922010387369956</v>
      </c>
      <c r="U57">
        <v>2.4798710402152868</v>
      </c>
      <c r="V57">
        <v>2.3624024854538108</v>
      </c>
      <c r="W57">
        <v>2.2485196886422081</v>
      </c>
      <c r="X57">
        <v>2.1480964984915767</v>
      </c>
      <c r="Y57">
        <v>2.0583004109048755</v>
      </c>
      <c r="Z57">
        <v>1.974998838488349</v>
      </c>
      <c r="AA57">
        <v>1.8934465941595831</v>
      </c>
      <c r="AB57">
        <v>1.814406155182217</v>
      </c>
      <c r="AC57">
        <v>1.7409272802208526</v>
      </c>
      <c r="AD57">
        <v>1.6747578034258646</v>
      </c>
      <c r="AE57">
        <v>1.6128044719572179</v>
      </c>
      <c r="AF57">
        <v>1.555138023923281</v>
      </c>
      <c r="AG57">
        <v>1.50291346635265</v>
      </c>
      <c r="AH57">
        <v>1.4536355423803011</v>
      </c>
      <c r="AI57">
        <v>1.4084642987664076</v>
      </c>
      <c r="AJ57">
        <v>1.3649116951412243</v>
      </c>
      <c r="AK57">
        <v>1.3192176873112653</v>
      </c>
      <c r="AL57">
        <v>1.2763232445812065</v>
      </c>
      <c r="AM57">
        <v>1.2378053726313842</v>
      </c>
      <c r="AN57">
        <v>1.2013093254755209</v>
      </c>
      <c r="AO57">
        <v>1.1677447437443562</v>
      </c>
      <c r="AP57">
        <v>1.1369311093962233</v>
      </c>
      <c r="AQ57">
        <v>1.1070700594027012</v>
      </c>
      <c r="AR57">
        <v>1.0800327554610019</v>
      </c>
      <c r="AS57">
        <v>1.0471646047704151</v>
      </c>
      <c r="AT57">
        <v>1.0218586245903802</v>
      </c>
      <c r="AU57">
        <v>1.0005061244927969</v>
      </c>
      <c r="AV57">
        <v>0.98538089559780295</v>
      </c>
      <c r="AW57">
        <v>0.98010787689048418</v>
      </c>
      <c r="AX57">
        <v>0.98645010778163578</v>
      </c>
      <c r="AY57">
        <v>0.99830462035890977</v>
      </c>
      <c r="AZ57">
        <v>1.0187080041016907</v>
      </c>
      <c r="BA57">
        <v>1.0679557330237124</v>
      </c>
      <c r="BB57">
        <v>1.0924638545766834</v>
      </c>
      <c r="BC57">
        <v>1.0902918176626479</v>
      </c>
      <c r="BD57">
        <v>1.0820458317298278</v>
      </c>
      <c r="BE57">
        <v>1.0786987279840172</v>
      </c>
      <c r="BF57">
        <v>1.0733253468923416</v>
      </c>
      <c r="BG57">
        <v>1.0685618201431395</v>
      </c>
      <c r="BH57">
        <v>1.06641517193322</v>
      </c>
      <c r="BI57">
        <v>1.0620411366244968</v>
      </c>
      <c r="BJ57">
        <v>1.0650451953191664</v>
      </c>
      <c r="BK57">
        <v>1.0722011377056684</v>
      </c>
      <c r="BL57">
        <v>1.1060509070791036</v>
      </c>
      <c r="BM57">
        <v>1.1650653543556051</v>
      </c>
      <c r="BN57">
        <v>1.2086186392727227</v>
      </c>
      <c r="BO57">
        <v>1.2386053535057324</v>
      </c>
      <c r="BP57">
        <v>1.2464460633567362</v>
      </c>
      <c r="BQ57">
        <v>1.2395101362896608</v>
      </c>
      <c r="BR57">
        <v>1.2146915473923376</v>
      </c>
      <c r="BS57">
        <v>1.1940646459937818</v>
      </c>
      <c r="BT57">
        <v>1.2011238479185244</v>
      </c>
      <c r="BU57">
        <v>1.2480311604457701</v>
      </c>
      <c r="BV57">
        <v>1.3268621155067335</v>
      </c>
      <c r="BW57">
        <v>1.4597270744598185</v>
      </c>
      <c r="BX57">
        <v>1.6691500834561503</v>
      </c>
    </row>
    <row r="58" spans="1:76">
      <c r="A58" t="s">
        <v>198</v>
      </c>
      <c r="B58">
        <v>2008</v>
      </c>
      <c r="C58">
        <v>8</v>
      </c>
      <c r="D58">
        <v>6</v>
      </c>
      <c r="E58">
        <v>9.0833333333333339</v>
      </c>
      <c r="F58">
        <v>3</v>
      </c>
      <c r="G58">
        <v>1.324071</v>
      </c>
      <c r="H58">
        <v>32.308365132212352</v>
      </c>
      <c r="I58">
        <v>5.0999999999999996</v>
      </c>
      <c r="J58">
        <v>1.2178025884143311</v>
      </c>
      <c r="K58">
        <v>0.89757691304317222</v>
      </c>
      <c r="L58">
        <v>1.0930714880049202</v>
      </c>
      <c r="M58">
        <v>5.2513485387684593</v>
      </c>
      <c r="N58">
        <v>4.9288993253408986</v>
      </c>
      <c r="O58">
        <v>4.6272523615795063</v>
      </c>
      <c r="P58">
        <v>4.3708615201213474</v>
      </c>
      <c r="Q58">
        <v>4.1225778077960573</v>
      </c>
      <c r="R58">
        <v>3.8907061340088855</v>
      </c>
      <c r="S58">
        <v>3.7001834966666212</v>
      </c>
      <c r="T58">
        <v>3.5198503281637685</v>
      </c>
      <c r="U58">
        <v>3.3414440770752694</v>
      </c>
      <c r="V58">
        <v>3.1387917381332735</v>
      </c>
      <c r="W58">
        <v>2.9368538928716483</v>
      </c>
      <c r="X58">
        <v>2.7688111881397832</v>
      </c>
      <c r="Y58">
        <v>2.624646270668137</v>
      </c>
      <c r="Z58">
        <v>2.4922305642353306</v>
      </c>
      <c r="AA58">
        <v>2.3584922672392841</v>
      </c>
      <c r="AB58">
        <v>2.2255444278510179</v>
      </c>
      <c r="AC58">
        <v>2.1022714663574842</v>
      </c>
      <c r="AD58">
        <v>1.9961686446196221</v>
      </c>
      <c r="AE58">
        <v>1.8966752057201191</v>
      </c>
      <c r="AF58">
        <v>1.8031965427074836</v>
      </c>
      <c r="AG58">
        <v>1.7197677583071478</v>
      </c>
      <c r="AH58">
        <v>1.636725270656425</v>
      </c>
      <c r="AI58">
        <v>1.5583652677993234</v>
      </c>
      <c r="AJ58">
        <v>1.4812040027863382</v>
      </c>
      <c r="AK58">
        <v>1.4091911512273427</v>
      </c>
      <c r="AL58">
        <v>1.3440858429463984</v>
      </c>
      <c r="AM58">
        <v>1.2871875622666937</v>
      </c>
      <c r="AN58">
        <v>1.2337181177620935</v>
      </c>
      <c r="AO58">
        <v>1.1858259470538188</v>
      </c>
      <c r="AP58">
        <v>1.1406761615849166</v>
      </c>
      <c r="AQ58">
        <v>1.0927081861943135</v>
      </c>
      <c r="AR58">
        <v>1.0564040198600151</v>
      </c>
      <c r="AS58">
        <v>1.0049476364921679</v>
      </c>
      <c r="AT58">
        <v>0.972958244526962</v>
      </c>
      <c r="AU58">
        <v>0.94334530833178243</v>
      </c>
      <c r="AV58">
        <v>0.92356085701442159</v>
      </c>
      <c r="AW58">
        <v>0.91782683075884441</v>
      </c>
      <c r="AX58">
        <v>0.92331380941974706</v>
      </c>
      <c r="AY58">
        <v>0.93200847489652128</v>
      </c>
      <c r="AZ58">
        <v>0.94726549468842247</v>
      </c>
      <c r="BA58">
        <v>0.9882546692035773</v>
      </c>
      <c r="BB58">
        <v>1.012701286915378</v>
      </c>
      <c r="BC58">
        <v>1.0198852295180112</v>
      </c>
      <c r="BD58">
        <v>1.0218284140929608</v>
      </c>
      <c r="BE58">
        <v>1.0267628552072665</v>
      </c>
      <c r="BF58">
        <v>1.0249385380932376</v>
      </c>
      <c r="BG58">
        <v>1.0235798088795947</v>
      </c>
      <c r="BH58">
        <v>1.0257937875075003</v>
      </c>
      <c r="BI58">
        <v>1.021263060437358</v>
      </c>
      <c r="BJ58">
        <v>1.0260998333245763</v>
      </c>
      <c r="BK58">
        <v>1.0404341877698493</v>
      </c>
      <c r="BL58">
        <v>1.092835372317402</v>
      </c>
      <c r="BM58">
        <v>1.1978789185951608</v>
      </c>
      <c r="BN58">
        <v>1.3056171843148205</v>
      </c>
      <c r="BO58">
        <v>1.395722038743709</v>
      </c>
      <c r="BP58">
        <v>1.4250744237237019</v>
      </c>
      <c r="BQ58">
        <v>1.3932816117720908</v>
      </c>
      <c r="BR58">
        <v>1.3007074890091144</v>
      </c>
      <c r="BS58">
        <v>1.1986790802260301</v>
      </c>
      <c r="BT58">
        <v>1.1447242285408139</v>
      </c>
      <c r="BU58">
        <v>1.1524374221728504</v>
      </c>
      <c r="BV58">
        <v>1.2158044002360648</v>
      </c>
      <c r="BW58">
        <v>1.3321015325456573</v>
      </c>
      <c r="BX58">
        <v>1.5326709232630664</v>
      </c>
    </row>
    <row r="59" spans="1:76">
      <c r="A59" t="s">
        <v>199</v>
      </c>
      <c r="B59">
        <v>2008</v>
      </c>
      <c r="C59">
        <v>8</v>
      </c>
      <c r="D59">
        <v>6</v>
      </c>
      <c r="E59">
        <v>9.25</v>
      </c>
      <c r="F59">
        <v>3</v>
      </c>
      <c r="G59">
        <v>2.2482549999999999</v>
      </c>
      <c r="H59">
        <v>25.865014430041455</v>
      </c>
      <c r="I59">
        <v>3.4</v>
      </c>
      <c r="J59">
        <v>1.0881316352618422</v>
      </c>
      <c r="K59">
        <v>1.3211664192098125</v>
      </c>
      <c r="L59">
        <v>1.4376029761878057</v>
      </c>
      <c r="M59">
        <v>7.1146022475697883</v>
      </c>
      <c r="N59">
        <v>6.5831033831532579</v>
      </c>
      <c r="O59">
        <v>6.0932706300408235</v>
      </c>
      <c r="P59">
        <v>5.6635663200809567</v>
      </c>
      <c r="Q59">
        <v>5.2605121295826605</v>
      </c>
      <c r="R59">
        <v>4.8893078155322414</v>
      </c>
      <c r="S59">
        <v>4.5693895660461923</v>
      </c>
      <c r="T59">
        <v>4.272896537195205</v>
      </c>
      <c r="U59">
        <v>3.9915580210304142</v>
      </c>
      <c r="V59">
        <v>3.701889144040603</v>
      </c>
      <c r="W59">
        <v>3.423968033206636</v>
      </c>
      <c r="X59">
        <v>3.1845776581779366</v>
      </c>
      <c r="Y59">
        <v>2.9744910010552839</v>
      </c>
      <c r="Z59">
        <v>2.7826553888644359</v>
      </c>
      <c r="AA59">
        <v>2.5972334868442588</v>
      </c>
      <c r="AB59">
        <v>2.4193651431965826</v>
      </c>
      <c r="AC59">
        <v>2.2559683010310647</v>
      </c>
      <c r="AD59">
        <v>2.11266925684121</v>
      </c>
      <c r="AE59">
        <v>1.9801550874471008</v>
      </c>
      <c r="AF59">
        <v>1.8575374183925371</v>
      </c>
      <c r="AG59">
        <v>1.7477753236723097</v>
      </c>
      <c r="AH59">
        <v>1.6424998273805038</v>
      </c>
      <c r="AI59">
        <v>1.5449481734072834</v>
      </c>
      <c r="AJ59">
        <v>1.4516070404461026</v>
      </c>
      <c r="AK59">
        <v>1.36448029528967</v>
      </c>
      <c r="AL59">
        <v>1.2857135041581549</v>
      </c>
      <c r="AM59">
        <v>1.2164099437100093</v>
      </c>
      <c r="AN59">
        <v>1.1521839256306809</v>
      </c>
      <c r="AO59">
        <v>1.0946909901635147</v>
      </c>
      <c r="AP59">
        <v>1.0415258156665828</v>
      </c>
      <c r="AQ59">
        <v>0.9878817179620123</v>
      </c>
      <c r="AR59">
        <v>0.94516201773159925</v>
      </c>
      <c r="AS59">
        <v>0.89085785074863022</v>
      </c>
      <c r="AT59">
        <v>0.8541615752809224</v>
      </c>
      <c r="AU59">
        <v>0.82107184991365179</v>
      </c>
      <c r="AV59">
        <v>0.79763923866832886</v>
      </c>
      <c r="AW59">
        <v>0.78771970461017871</v>
      </c>
      <c r="AX59">
        <v>0.78945603786409424</v>
      </c>
      <c r="AY59">
        <v>0.79547209391486828</v>
      </c>
      <c r="AZ59">
        <v>0.80893426987185202</v>
      </c>
      <c r="BA59">
        <v>0.84879283278428619</v>
      </c>
      <c r="BB59">
        <v>0.87143376135722561</v>
      </c>
      <c r="BC59">
        <v>0.87569894140551252</v>
      </c>
      <c r="BD59">
        <v>0.8750592292010273</v>
      </c>
      <c r="BE59">
        <v>0.87810772483935995</v>
      </c>
      <c r="BF59">
        <v>0.87583682040699906</v>
      </c>
      <c r="BG59">
        <v>0.87434593740810795</v>
      </c>
      <c r="BH59">
        <v>0.87642686101531719</v>
      </c>
      <c r="BI59">
        <v>0.87306792925846943</v>
      </c>
      <c r="BJ59">
        <v>0.87870768745717354</v>
      </c>
      <c r="BK59">
        <v>0.89275827443267775</v>
      </c>
      <c r="BL59">
        <v>0.94201323171626083</v>
      </c>
      <c r="BM59">
        <v>1.0374570490736224</v>
      </c>
      <c r="BN59">
        <v>1.1319230632256836</v>
      </c>
      <c r="BO59">
        <v>1.2100356132596635</v>
      </c>
      <c r="BP59">
        <v>1.2366027437967162</v>
      </c>
      <c r="BQ59">
        <v>1.2128535280621717</v>
      </c>
      <c r="BR59">
        <v>1.1384089877135399</v>
      </c>
      <c r="BS59">
        <v>1.0576117770933853</v>
      </c>
      <c r="BT59">
        <v>1.0199042063112131</v>
      </c>
      <c r="BU59">
        <v>1.0383526313478186</v>
      </c>
      <c r="BV59">
        <v>1.1066375839300706</v>
      </c>
      <c r="BW59">
        <v>1.2272924160077547</v>
      </c>
      <c r="BX59">
        <v>1.4292981988802103</v>
      </c>
    </row>
    <row r="60" spans="1:76">
      <c r="A60" t="s">
        <v>200</v>
      </c>
      <c r="B60">
        <v>2008</v>
      </c>
      <c r="C60">
        <v>8</v>
      </c>
      <c r="D60">
        <v>6</v>
      </c>
      <c r="E60">
        <v>9.4666666666666668</v>
      </c>
      <c r="F60">
        <v>3</v>
      </c>
      <c r="G60">
        <v>2.3916390000000001</v>
      </c>
      <c r="H60">
        <v>12.37774795235357</v>
      </c>
      <c r="I60">
        <v>3</v>
      </c>
      <c r="J60">
        <v>0.97918722097863897</v>
      </c>
      <c r="K60">
        <v>1.4966472353642533</v>
      </c>
      <c r="L60">
        <v>1.4654978471816862</v>
      </c>
      <c r="M60">
        <v>7.1033452299857229</v>
      </c>
      <c r="N60">
        <v>6.5386466568993482</v>
      </c>
      <c r="O60">
        <v>6.0214899461142357</v>
      </c>
      <c r="P60">
        <v>5.5604949963416699</v>
      </c>
      <c r="Q60">
        <v>5.1340847247425483</v>
      </c>
      <c r="R60">
        <v>4.7435409973062548</v>
      </c>
      <c r="S60">
        <v>4.3986120220931904</v>
      </c>
      <c r="T60">
        <v>4.0816077895397012</v>
      </c>
      <c r="U60">
        <v>3.7866286377426319</v>
      </c>
      <c r="V60">
        <v>3.4984942218301507</v>
      </c>
      <c r="W60">
        <v>3.2280891360520014</v>
      </c>
      <c r="X60">
        <v>2.9893323357608295</v>
      </c>
      <c r="Y60">
        <v>2.7764354618491289</v>
      </c>
      <c r="Z60">
        <v>2.5822805439720886</v>
      </c>
      <c r="AA60">
        <v>2.3991879940750569</v>
      </c>
      <c r="AB60">
        <v>2.2272857757772573</v>
      </c>
      <c r="AC60">
        <v>2.0700975036725957</v>
      </c>
      <c r="AD60">
        <v>1.9299646722886716</v>
      </c>
      <c r="AE60">
        <v>1.8013430814385158</v>
      </c>
      <c r="AF60">
        <v>1.6834987462939188</v>
      </c>
      <c r="AG60">
        <v>1.5776749381207655</v>
      </c>
      <c r="AH60">
        <v>1.4791516118353314</v>
      </c>
      <c r="AI60">
        <v>1.389352146531933</v>
      </c>
      <c r="AJ60">
        <v>1.305230320114275</v>
      </c>
      <c r="AK60">
        <v>1.2247753473445213</v>
      </c>
      <c r="AL60">
        <v>1.1515278816997996</v>
      </c>
      <c r="AM60">
        <v>1.0865747782507456</v>
      </c>
      <c r="AN60">
        <v>1.0267841339082344</v>
      </c>
      <c r="AO60">
        <v>0.97303709749747092</v>
      </c>
      <c r="AP60">
        <v>0.92422418837136655</v>
      </c>
      <c r="AQ60">
        <v>0.87749419449071364</v>
      </c>
      <c r="AR60">
        <v>0.83755369041647532</v>
      </c>
      <c r="AS60">
        <v>0.79165878149137914</v>
      </c>
      <c r="AT60">
        <v>0.75731032944554466</v>
      </c>
      <c r="AU60">
        <v>0.72759629103410095</v>
      </c>
      <c r="AV60">
        <v>0.70572797122168529</v>
      </c>
      <c r="AW60">
        <v>0.69504318934712428</v>
      </c>
      <c r="AX60">
        <v>0.69598333934735823</v>
      </c>
      <c r="AY60">
        <v>0.70249087703890567</v>
      </c>
      <c r="AZ60">
        <v>0.71746516402617233</v>
      </c>
      <c r="BA60">
        <v>0.75976059672832252</v>
      </c>
      <c r="BB60">
        <v>0.78182241678138675</v>
      </c>
      <c r="BC60">
        <v>0.78170966805857511</v>
      </c>
      <c r="BD60">
        <v>0.77662168362204764</v>
      </c>
      <c r="BE60">
        <v>0.77620268798884884</v>
      </c>
      <c r="BF60">
        <v>0.77312732566990316</v>
      </c>
      <c r="BG60">
        <v>0.77100811740403441</v>
      </c>
      <c r="BH60">
        <v>0.77198890459102065</v>
      </c>
      <c r="BI60">
        <v>0.77005077683508949</v>
      </c>
      <c r="BJ60">
        <v>0.7759378746920903</v>
      </c>
      <c r="BK60">
        <v>0.78740638805270158</v>
      </c>
      <c r="BL60">
        <v>0.82742055237505441</v>
      </c>
      <c r="BM60">
        <v>0.89864737981070686</v>
      </c>
      <c r="BN60">
        <v>0.95996626489756465</v>
      </c>
      <c r="BO60">
        <v>1.0075016416704263</v>
      </c>
      <c r="BP60">
        <v>1.0243053470823733</v>
      </c>
      <c r="BQ60">
        <v>1.0154388537265293</v>
      </c>
      <c r="BR60">
        <v>0.97879996179246409</v>
      </c>
      <c r="BS60">
        <v>0.94283601198971589</v>
      </c>
      <c r="BT60">
        <v>0.93856669449824714</v>
      </c>
      <c r="BU60">
        <v>0.97796947054008809</v>
      </c>
      <c r="BV60">
        <v>1.0539579201673961</v>
      </c>
      <c r="BW60">
        <v>1.1813913068836122</v>
      </c>
      <c r="BX60">
        <v>1.3840127335694481</v>
      </c>
    </row>
    <row r="61" spans="1:76">
      <c r="A61" t="s">
        <v>201</v>
      </c>
      <c r="B61">
        <v>2008</v>
      </c>
      <c r="C61">
        <v>8</v>
      </c>
      <c r="D61">
        <v>6</v>
      </c>
      <c r="E61">
        <v>9.6833333333333336</v>
      </c>
      <c r="F61">
        <v>3</v>
      </c>
      <c r="G61">
        <v>1.2111479999999999</v>
      </c>
      <c r="H61">
        <v>11.707077803518217</v>
      </c>
      <c r="I61">
        <v>3.5</v>
      </c>
      <c r="J61">
        <v>0.91784894762635882</v>
      </c>
      <c r="K61">
        <v>1.3119760890233803</v>
      </c>
      <c r="L61">
        <v>1.2041958726210555</v>
      </c>
      <c r="M61">
        <v>4.1540578841955043</v>
      </c>
      <c r="N61">
        <v>3.8647496685473204</v>
      </c>
      <c r="O61">
        <v>3.597811818205455</v>
      </c>
      <c r="P61">
        <v>3.3635151271075729</v>
      </c>
      <c r="Q61">
        <v>3.1432599544175055</v>
      </c>
      <c r="R61">
        <v>2.9399879723462412</v>
      </c>
      <c r="S61">
        <v>2.7645182032149966</v>
      </c>
      <c r="T61">
        <v>2.6014792088739878</v>
      </c>
      <c r="U61">
        <v>2.4465843157189209</v>
      </c>
      <c r="V61">
        <v>2.2865703420839267</v>
      </c>
      <c r="W61">
        <v>2.1328582141649837</v>
      </c>
      <c r="X61">
        <v>1.999561830111777</v>
      </c>
      <c r="Y61">
        <v>1.8821114117306399</v>
      </c>
      <c r="Z61">
        <v>1.7745613970291818</v>
      </c>
      <c r="AA61">
        <v>1.6703427660943246</v>
      </c>
      <c r="AB61">
        <v>1.5702491688724951</v>
      </c>
      <c r="AC61">
        <v>1.4782312819246108</v>
      </c>
      <c r="AD61">
        <v>1.3970177214495363</v>
      </c>
      <c r="AE61">
        <v>1.3218734842804991</v>
      </c>
      <c r="AF61">
        <v>1.2525711405797944</v>
      </c>
      <c r="AG61">
        <v>1.1906881254594701</v>
      </c>
      <c r="AH61">
        <v>1.1321570561980401</v>
      </c>
      <c r="AI61">
        <v>1.0786513668451667</v>
      </c>
      <c r="AJ61">
        <v>1.027510500217609</v>
      </c>
      <c r="AK61">
        <v>0.97681055982317844</v>
      </c>
      <c r="AL61">
        <v>0.93040808499344907</v>
      </c>
      <c r="AM61">
        <v>0.88963856131205055</v>
      </c>
      <c r="AN61">
        <v>0.85169040195197465</v>
      </c>
      <c r="AO61">
        <v>0.81761632800950657</v>
      </c>
      <c r="AP61">
        <v>0.78658550521789605</v>
      </c>
      <c r="AQ61">
        <v>0.75602670929070914</v>
      </c>
      <c r="AR61">
        <v>0.73047194071543942</v>
      </c>
      <c r="AS61">
        <v>0.69773858012780243</v>
      </c>
      <c r="AT61">
        <v>0.67503164030424934</v>
      </c>
      <c r="AU61">
        <v>0.6559124915742971</v>
      </c>
      <c r="AV61">
        <v>0.64362917158498578</v>
      </c>
      <c r="AW61">
        <v>0.6416541242274505</v>
      </c>
      <c r="AX61">
        <v>0.65057921267041807</v>
      </c>
      <c r="AY61">
        <v>0.66431786195593834</v>
      </c>
      <c r="AZ61">
        <v>0.68579056286485129</v>
      </c>
      <c r="BA61">
        <v>0.73380512093459682</v>
      </c>
      <c r="BB61">
        <v>0.76067156439916295</v>
      </c>
      <c r="BC61">
        <v>0.76468656886843811</v>
      </c>
      <c r="BD61">
        <v>0.76326443747740091</v>
      </c>
      <c r="BE61">
        <v>0.7660937174571123</v>
      </c>
      <c r="BF61">
        <v>0.76603236867998947</v>
      </c>
      <c r="BG61">
        <v>0.7665669488467145</v>
      </c>
      <c r="BH61">
        <v>0.76982034134336574</v>
      </c>
      <c r="BI61">
        <v>0.77001976491916935</v>
      </c>
      <c r="BJ61">
        <v>0.77763927531667265</v>
      </c>
      <c r="BK61">
        <v>0.7903810113708869</v>
      </c>
      <c r="BL61">
        <v>0.8307834732689926</v>
      </c>
      <c r="BM61">
        <v>0.90101341059419493</v>
      </c>
      <c r="BN61">
        <v>0.96074033677894155</v>
      </c>
      <c r="BO61">
        <v>1.0068020207330557</v>
      </c>
      <c r="BP61">
        <v>1.0234680652187129</v>
      </c>
      <c r="BQ61">
        <v>1.0159744397318942</v>
      </c>
      <c r="BR61">
        <v>0.98216097893573595</v>
      </c>
      <c r="BS61">
        <v>0.94929191029886095</v>
      </c>
      <c r="BT61">
        <v>0.94703749373125745</v>
      </c>
      <c r="BU61">
        <v>0.98719045927316995</v>
      </c>
      <c r="BV61">
        <v>1.0627044134828576</v>
      </c>
      <c r="BW61">
        <v>1.188959549887012</v>
      </c>
      <c r="BX61">
        <v>1.3891513008933492</v>
      </c>
    </row>
    <row r="62" spans="1:76">
      <c r="A62" t="s">
        <v>202</v>
      </c>
      <c r="B62">
        <v>2008</v>
      </c>
      <c r="C62">
        <v>8</v>
      </c>
      <c r="D62">
        <v>6</v>
      </c>
      <c r="E62">
        <v>9.8000000000000007</v>
      </c>
      <c r="F62">
        <v>3</v>
      </c>
      <c r="G62">
        <v>2.4017750000000002</v>
      </c>
      <c r="H62">
        <v>16.34408138433173</v>
      </c>
      <c r="I62">
        <v>3.2</v>
      </c>
      <c r="J62">
        <v>1.0109799243071793</v>
      </c>
      <c r="K62">
        <v>1.4083578940662402</v>
      </c>
      <c r="L62">
        <v>1.423821557140506</v>
      </c>
      <c r="M62">
        <v>7.1159091235770466</v>
      </c>
      <c r="N62">
        <v>6.5605545182550724</v>
      </c>
      <c r="O62">
        <v>6.0510718455671721</v>
      </c>
      <c r="P62">
        <v>5.5988237462431236</v>
      </c>
      <c r="Q62">
        <v>5.1789330453074438</v>
      </c>
      <c r="R62">
        <v>4.7937757656290634</v>
      </c>
      <c r="S62">
        <v>4.4557926485060371</v>
      </c>
      <c r="T62">
        <v>4.1444692425738348</v>
      </c>
      <c r="U62">
        <v>3.8532366793427335</v>
      </c>
      <c r="V62">
        <v>3.5646285873746346</v>
      </c>
      <c r="W62">
        <v>3.2920680244038301</v>
      </c>
      <c r="X62">
        <v>3.0530881543980715</v>
      </c>
      <c r="Y62">
        <v>2.8409208267859922</v>
      </c>
      <c r="Z62">
        <v>2.6473484403100058</v>
      </c>
      <c r="AA62">
        <v>2.4635390008562044</v>
      </c>
      <c r="AB62">
        <v>2.2898980544341856</v>
      </c>
      <c r="AC62">
        <v>2.1308859191460976</v>
      </c>
      <c r="AD62">
        <v>1.9897780232139091</v>
      </c>
      <c r="AE62">
        <v>1.8599630632033444</v>
      </c>
      <c r="AF62">
        <v>1.7406545484997809</v>
      </c>
      <c r="AG62">
        <v>1.6335743506115317</v>
      </c>
      <c r="AH62">
        <v>1.5329583370000188</v>
      </c>
      <c r="AI62">
        <v>1.4407432825624429</v>
      </c>
      <c r="AJ62">
        <v>1.3537919943892418</v>
      </c>
      <c r="AK62">
        <v>1.2713594274616087</v>
      </c>
      <c r="AL62">
        <v>1.1964655998921854</v>
      </c>
      <c r="AM62">
        <v>1.1301668151410249</v>
      </c>
      <c r="AN62">
        <v>1.0690045039434386</v>
      </c>
      <c r="AO62">
        <v>1.0140670745644695</v>
      </c>
      <c r="AP62">
        <v>0.96385779875969224</v>
      </c>
      <c r="AQ62">
        <v>0.91497825743769079</v>
      </c>
      <c r="AR62">
        <v>0.8740930211547101</v>
      </c>
      <c r="AS62">
        <v>0.82571499007930549</v>
      </c>
      <c r="AT62">
        <v>0.79056152798248291</v>
      </c>
      <c r="AU62">
        <v>0.75967708732838979</v>
      </c>
      <c r="AV62">
        <v>0.73707386724755497</v>
      </c>
      <c r="AW62">
        <v>0.72617210796939613</v>
      </c>
      <c r="AX62">
        <v>0.72668956683174613</v>
      </c>
      <c r="AY62">
        <v>0.73229288337775189</v>
      </c>
      <c r="AZ62">
        <v>0.74589812466041705</v>
      </c>
      <c r="BA62">
        <v>0.78597493272145125</v>
      </c>
      <c r="BB62">
        <v>0.80722606988647372</v>
      </c>
      <c r="BC62">
        <v>0.80798836171868327</v>
      </c>
      <c r="BD62">
        <v>0.80393033850491591</v>
      </c>
      <c r="BE62">
        <v>0.80415826230848464</v>
      </c>
      <c r="BF62">
        <v>0.80098522114708826</v>
      </c>
      <c r="BG62">
        <v>0.79871121302604953</v>
      </c>
      <c r="BH62">
        <v>0.79963173750341721</v>
      </c>
      <c r="BI62">
        <v>0.79693343747268686</v>
      </c>
      <c r="BJ62">
        <v>0.802267981317351</v>
      </c>
      <c r="BK62">
        <v>0.81394832601253475</v>
      </c>
      <c r="BL62">
        <v>0.85561268741644081</v>
      </c>
      <c r="BM62">
        <v>0.93243820835019231</v>
      </c>
      <c r="BN62">
        <v>1.0023395984199448</v>
      </c>
      <c r="BO62">
        <v>1.0579730632202371</v>
      </c>
      <c r="BP62">
        <v>1.0771305556639712</v>
      </c>
      <c r="BQ62">
        <v>1.0635825278854651</v>
      </c>
      <c r="BR62">
        <v>1.01580560885288</v>
      </c>
      <c r="BS62">
        <v>0.96652551525384822</v>
      </c>
      <c r="BT62">
        <v>0.95176859529395919</v>
      </c>
      <c r="BU62">
        <v>0.98358736922679624</v>
      </c>
      <c r="BV62">
        <v>1.0552852542730264</v>
      </c>
      <c r="BW62">
        <v>1.1775936093393073</v>
      </c>
      <c r="BX62">
        <v>1.3753523472288054</v>
      </c>
    </row>
    <row r="63" spans="1:76">
      <c r="A63" t="s">
        <v>203</v>
      </c>
      <c r="B63">
        <v>2008</v>
      </c>
      <c r="C63">
        <v>8</v>
      </c>
      <c r="D63">
        <v>6</v>
      </c>
      <c r="E63">
        <v>10.016666666666667</v>
      </c>
      <c r="F63">
        <v>3</v>
      </c>
      <c r="G63">
        <v>1.358412</v>
      </c>
      <c r="H63">
        <v>16.266152325543587</v>
      </c>
      <c r="I63">
        <v>3.2</v>
      </c>
      <c r="J63">
        <v>0.9203529818768037</v>
      </c>
      <c r="K63">
        <v>1.4330412104590815</v>
      </c>
      <c r="L63">
        <v>1.3189037511983599</v>
      </c>
      <c r="M63">
        <v>4.4567458019582684</v>
      </c>
      <c r="N63">
        <v>4.1438888748891145</v>
      </c>
      <c r="O63">
        <v>3.8547764960175295</v>
      </c>
      <c r="P63">
        <v>3.6025614139122255</v>
      </c>
      <c r="Q63">
        <v>3.3645242689365276</v>
      </c>
      <c r="R63">
        <v>3.144625257985882</v>
      </c>
      <c r="S63">
        <v>2.9565856251722002</v>
      </c>
      <c r="T63">
        <v>2.7815388169601558</v>
      </c>
      <c r="U63">
        <v>2.6142315440095141</v>
      </c>
      <c r="V63">
        <v>2.4385657876230487</v>
      </c>
      <c r="W63">
        <v>2.2687619650718007</v>
      </c>
      <c r="X63">
        <v>2.1229911295355981</v>
      </c>
      <c r="Y63">
        <v>1.9954186932065965</v>
      </c>
      <c r="Z63">
        <v>1.8787041397446553</v>
      </c>
      <c r="AA63">
        <v>1.7648316527247045</v>
      </c>
      <c r="AB63">
        <v>1.654822707160146</v>
      </c>
      <c r="AC63">
        <v>1.553632175921797</v>
      </c>
      <c r="AD63">
        <v>1.4649937274005185</v>
      </c>
      <c r="AE63">
        <v>1.3828634680259495</v>
      </c>
      <c r="AF63">
        <v>1.3068908506846246</v>
      </c>
      <c r="AG63">
        <v>1.2391519084432541</v>
      </c>
      <c r="AH63">
        <v>1.1743180588258351</v>
      </c>
      <c r="AI63">
        <v>1.1146106855252149</v>
      </c>
      <c r="AJ63">
        <v>1.0572169280633221</v>
      </c>
      <c r="AK63">
        <v>1.0016310824077179</v>
      </c>
      <c r="AL63">
        <v>0.95108383702332322</v>
      </c>
      <c r="AM63">
        <v>0.9068412332046426</v>
      </c>
      <c r="AN63">
        <v>0.86568240746323355</v>
      </c>
      <c r="AO63">
        <v>0.82886761301353595</v>
      </c>
      <c r="AP63">
        <v>0.79508850513219698</v>
      </c>
      <c r="AQ63">
        <v>0.76111943298825646</v>
      </c>
      <c r="AR63">
        <v>0.73372549024578726</v>
      </c>
      <c r="AS63">
        <v>0.69757284340743808</v>
      </c>
      <c r="AT63">
        <v>0.67350363231555077</v>
      </c>
      <c r="AU63">
        <v>0.65270590139864715</v>
      </c>
      <c r="AV63">
        <v>0.63932470966893351</v>
      </c>
      <c r="AW63">
        <v>0.63689498151012347</v>
      </c>
      <c r="AX63">
        <v>0.64516772464079697</v>
      </c>
      <c r="AY63">
        <v>0.65779072226694724</v>
      </c>
      <c r="AZ63">
        <v>0.67770794942624246</v>
      </c>
      <c r="BA63">
        <v>0.72329646311271323</v>
      </c>
      <c r="BB63">
        <v>0.74950428610103947</v>
      </c>
      <c r="BC63">
        <v>0.75486016348705154</v>
      </c>
      <c r="BD63">
        <v>0.75500489666039139</v>
      </c>
      <c r="BE63">
        <v>0.75901188358230931</v>
      </c>
      <c r="BF63">
        <v>0.75931007094959346</v>
      </c>
      <c r="BG63">
        <v>0.76017820224269705</v>
      </c>
      <c r="BH63">
        <v>0.76391355107562076</v>
      </c>
      <c r="BI63">
        <v>0.76381605536815134</v>
      </c>
      <c r="BJ63">
        <v>0.77141991599615278</v>
      </c>
      <c r="BK63">
        <v>0.78506304314776676</v>
      </c>
      <c r="BL63">
        <v>0.8281110964442393</v>
      </c>
      <c r="BM63">
        <v>0.90563501412902769</v>
      </c>
      <c r="BN63">
        <v>0.97608709995877008</v>
      </c>
      <c r="BO63">
        <v>1.0322994552910125</v>
      </c>
      <c r="BP63">
        <v>1.0524464364436399</v>
      </c>
      <c r="BQ63">
        <v>1.0402918565996937</v>
      </c>
      <c r="BR63">
        <v>0.9943326810870704</v>
      </c>
      <c r="BS63">
        <v>0.94682789319534022</v>
      </c>
      <c r="BT63">
        <v>0.93328544151659265</v>
      </c>
      <c r="BU63">
        <v>0.96561864082177096</v>
      </c>
      <c r="BV63">
        <v>1.0372105897721682</v>
      </c>
      <c r="BW63">
        <v>1.1587438336994691</v>
      </c>
      <c r="BX63">
        <v>1.3547425394888357</v>
      </c>
    </row>
    <row r="64" spans="1:76">
      <c r="A64" t="s">
        <v>206</v>
      </c>
      <c r="B64">
        <v>2008</v>
      </c>
      <c r="C64">
        <v>8</v>
      </c>
      <c r="D64">
        <v>6</v>
      </c>
      <c r="E64">
        <v>10.25</v>
      </c>
      <c r="F64">
        <v>3</v>
      </c>
      <c r="G64">
        <v>1.0615859999999999</v>
      </c>
      <c r="H64">
        <v>12.381156756869208</v>
      </c>
      <c r="I64">
        <v>2.6</v>
      </c>
      <c r="J64">
        <v>0.80068821685614999</v>
      </c>
      <c r="K64">
        <v>1.7650303864794159</v>
      </c>
      <c r="L64">
        <v>1.4132390328471247</v>
      </c>
      <c r="M64">
        <v>3.4856756172327361</v>
      </c>
      <c r="N64">
        <v>3.2438007750023599</v>
      </c>
      <c r="O64">
        <v>3.0201992219711578</v>
      </c>
      <c r="P64">
        <v>2.825628585257201</v>
      </c>
      <c r="Q64">
        <v>2.6416749817001168</v>
      </c>
      <c r="R64">
        <v>2.4716295251596234</v>
      </c>
      <c r="S64">
        <v>2.3266982619275742</v>
      </c>
      <c r="T64">
        <v>2.1916298602486757</v>
      </c>
      <c r="U64">
        <v>2.0623148462802647</v>
      </c>
      <c r="V64">
        <v>1.9256193424540662</v>
      </c>
      <c r="W64">
        <v>1.793237721943477</v>
      </c>
      <c r="X64">
        <v>1.6796648949937336</v>
      </c>
      <c r="Y64">
        <v>1.5804060315003989</v>
      </c>
      <c r="Z64">
        <v>1.4895961606312618</v>
      </c>
      <c r="AA64">
        <v>1.400744559135557</v>
      </c>
      <c r="AB64">
        <v>1.3147661816286786</v>
      </c>
      <c r="AC64">
        <v>1.2357479470696766</v>
      </c>
      <c r="AD64">
        <v>1.1665833701191204</v>
      </c>
      <c r="AE64">
        <v>1.1025483731687182</v>
      </c>
      <c r="AF64">
        <v>1.0434779417385722</v>
      </c>
      <c r="AG64">
        <v>0.99104537976545548</v>
      </c>
      <c r="AH64">
        <v>0.94115929884264937</v>
      </c>
      <c r="AI64">
        <v>0.89558923394213075</v>
      </c>
      <c r="AJ64">
        <v>0.85177561056213325</v>
      </c>
      <c r="AK64">
        <v>0.80810307573314499</v>
      </c>
      <c r="AL64">
        <v>0.76827438725823616</v>
      </c>
      <c r="AM64">
        <v>0.73362427952661946</v>
      </c>
      <c r="AN64">
        <v>0.70139135737049996</v>
      </c>
      <c r="AO64">
        <v>0.67266896754763184</v>
      </c>
      <c r="AP64">
        <v>0.64660513560111321</v>
      </c>
      <c r="AQ64">
        <v>0.62062017953093851</v>
      </c>
      <c r="AR64">
        <v>0.59951529228823308</v>
      </c>
      <c r="AS64">
        <v>0.570923600756441</v>
      </c>
      <c r="AT64">
        <v>0.55224225204274824</v>
      </c>
      <c r="AU64">
        <v>0.53683040108693725</v>
      </c>
      <c r="AV64">
        <v>0.52800854164555777</v>
      </c>
      <c r="AW64">
        <v>0.52916973119127431</v>
      </c>
      <c r="AX64">
        <v>0.54074478870226095</v>
      </c>
      <c r="AY64">
        <v>0.55676045063803692</v>
      </c>
      <c r="AZ64">
        <v>0.58007099244393445</v>
      </c>
      <c r="BA64">
        <v>0.62890305403849944</v>
      </c>
      <c r="BB64">
        <v>0.65732216781249186</v>
      </c>
      <c r="BC64">
        <v>0.66373198012454582</v>
      </c>
      <c r="BD64">
        <v>0.66479938970478525</v>
      </c>
      <c r="BE64">
        <v>0.66985324744065544</v>
      </c>
      <c r="BF64">
        <v>0.67189570144677924</v>
      </c>
      <c r="BG64">
        <v>0.67444190427533479</v>
      </c>
      <c r="BH64">
        <v>0.67958676573989307</v>
      </c>
      <c r="BI64">
        <v>0.68158606054649218</v>
      </c>
      <c r="BJ64">
        <v>0.69078519511912817</v>
      </c>
      <c r="BK64">
        <v>0.70505105725106032</v>
      </c>
      <c r="BL64">
        <v>0.74641107281344454</v>
      </c>
      <c r="BM64">
        <v>0.81743600396461791</v>
      </c>
      <c r="BN64">
        <v>0.87875207030526503</v>
      </c>
      <c r="BO64">
        <v>0.926665062500166</v>
      </c>
      <c r="BP64">
        <v>0.94495050651548884</v>
      </c>
      <c r="BQ64">
        <v>0.93847857347842045</v>
      </c>
      <c r="BR64">
        <v>0.9052549879940045</v>
      </c>
      <c r="BS64">
        <v>0.87254575142865842</v>
      </c>
      <c r="BT64">
        <v>0.87008522360063989</v>
      </c>
      <c r="BU64">
        <v>0.90935824428169942</v>
      </c>
      <c r="BV64">
        <v>0.98358497730760819</v>
      </c>
      <c r="BW64">
        <v>1.1070059967123955</v>
      </c>
      <c r="BX64">
        <v>1.3023767849720502</v>
      </c>
    </row>
    <row r="65" spans="1:76">
      <c r="A65" t="s">
        <v>212</v>
      </c>
      <c r="B65">
        <v>2008</v>
      </c>
      <c r="C65">
        <v>8</v>
      </c>
      <c r="D65">
        <v>6</v>
      </c>
      <c r="E65">
        <v>11.416666666666666</v>
      </c>
      <c r="F65">
        <v>3</v>
      </c>
      <c r="G65">
        <v>1.5646800000000001</v>
      </c>
      <c r="H65">
        <v>27.905056466672402</v>
      </c>
      <c r="I65">
        <v>3.7</v>
      </c>
      <c r="J65">
        <v>1.0060319709687711</v>
      </c>
      <c r="K65">
        <v>1.24581964887379</v>
      </c>
      <c r="L65">
        <v>1.2533343968281212</v>
      </c>
      <c r="M65">
        <v>4.9290216553113089</v>
      </c>
      <c r="N65">
        <v>4.5964416512845041</v>
      </c>
      <c r="O65">
        <v>4.2875970057024251</v>
      </c>
      <c r="P65">
        <v>4.0213974962302608</v>
      </c>
      <c r="Q65">
        <v>3.767489885585773</v>
      </c>
      <c r="R65">
        <v>3.531987323709707</v>
      </c>
      <c r="S65">
        <v>3.3343346367193063</v>
      </c>
      <c r="T65">
        <v>3.1491603170444367</v>
      </c>
      <c r="U65">
        <v>2.9695012775207612</v>
      </c>
      <c r="V65">
        <v>2.7740127705115141</v>
      </c>
      <c r="W65">
        <v>2.5823606312896663</v>
      </c>
      <c r="X65">
        <v>2.4206272336492032</v>
      </c>
      <c r="Y65">
        <v>2.2806310370635532</v>
      </c>
      <c r="Z65">
        <v>2.1524511924201182</v>
      </c>
      <c r="AA65">
        <v>2.0253963950315526</v>
      </c>
      <c r="AB65">
        <v>1.9009926625161877</v>
      </c>
      <c r="AC65">
        <v>1.7861702703721736</v>
      </c>
      <c r="AD65">
        <v>1.6866712711522052</v>
      </c>
      <c r="AE65">
        <v>1.5939797909789353</v>
      </c>
      <c r="AF65">
        <v>1.5075456747012694</v>
      </c>
      <c r="AG65">
        <v>1.4304439348057927</v>
      </c>
      <c r="AH65">
        <v>1.3549358483229685</v>
      </c>
      <c r="AI65">
        <v>1.2843393657902165</v>
      </c>
      <c r="AJ65">
        <v>1.2156351191392256</v>
      </c>
      <c r="AK65">
        <v>1.1512507073177687</v>
      </c>
      <c r="AL65">
        <v>1.0930733881198043</v>
      </c>
      <c r="AM65">
        <v>1.0422206399307274</v>
      </c>
      <c r="AN65">
        <v>0.99473893556396376</v>
      </c>
      <c r="AO65">
        <v>0.95230126100055423</v>
      </c>
      <c r="AP65">
        <v>0.91267864356466433</v>
      </c>
      <c r="AQ65">
        <v>0.87141118504458404</v>
      </c>
      <c r="AR65">
        <v>0.83966036009040734</v>
      </c>
      <c r="AS65">
        <v>0.79603143815701127</v>
      </c>
      <c r="AT65">
        <v>0.76832268787482727</v>
      </c>
      <c r="AU65">
        <v>0.74312757023252041</v>
      </c>
      <c r="AV65">
        <v>0.726334929042321</v>
      </c>
      <c r="AW65">
        <v>0.7215585364000987</v>
      </c>
      <c r="AX65">
        <v>0.72686119509413594</v>
      </c>
      <c r="AY65">
        <v>0.73543470860242555</v>
      </c>
      <c r="AZ65">
        <v>0.75018775155095385</v>
      </c>
      <c r="BA65">
        <v>0.78816152927696348</v>
      </c>
      <c r="BB65">
        <v>0.81068063775247978</v>
      </c>
      <c r="BC65">
        <v>0.81689454535863626</v>
      </c>
      <c r="BD65">
        <v>0.81846626534079103</v>
      </c>
      <c r="BE65">
        <v>0.82299296356087948</v>
      </c>
      <c r="BF65">
        <v>0.82221831671209511</v>
      </c>
      <c r="BG65">
        <v>0.82193246566902789</v>
      </c>
      <c r="BH65">
        <v>0.82473217332793158</v>
      </c>
      <c r="BI65">
        <v>0.82219496725782615</v>
      </c>
      <c r="BJ65">
        <v>0.82772924890358435</v>
      </c>
      <c r="BK65">
        <v>0.84101035589078821</v>
      </c>
      <c r="BL65">
        <v>0.88647295750150024</v>
      </c>
      <c r="BM65">
        <v>0.97498127719084726</v>
      </c>
      <c r="BN65">
        <v>1.063623292673106</v>
      </c>
      <c r="BO65">
        <v>1.1372281546739127</v>
      </c>
      <c r="BP65">
        <v>1.1620749360653446</v>
      </c>
      <c r="BQ65">
        <v>1.1388120848920698</v>
      </c>
      <c r="BR65">
        <v>1.0673298770394666</v>
      </c>
      <c r="BS65">
        <v>0.98924028080581849</v>
      </c>
      <c r="BT65">
        <v>0.95104081388335637</v>
      </c>
      <c r="BU65">
        <v>0.96456035365703929</v>
      </c>
      <c r="BV65">
        <v>1.0242425127060943</v>
      </c>
      <c r="BW65">
        <v>1.1308396497827935</v>
      </c>
      <c r="BX65">
        <v>1.310921860282952</v>
      </c>
    </row>
    <row r="66" spans="1:76">
      <c r="A66" t="s">
        <v>213</v>
      </c>
      <c r="B66">
        <v>2008</v>
      </c>
      <c r="C66">
        <v>8</v>
      </c>
      <c r="D66">
        <v>6</v>
      </c>
      <c r="E66">
        <v>11.683333333333334</v>
      </c>
      <c r="F66">
        <v>3</v>
      </c>
      <c r="G66">
        <v>1.2261169999999999</v>
      </c>
      <c r="H66">
        <v>12.228454939770357</v>
      </c>
      <c r="I66">
        <v>2.9</v>
      </c>
      <c r="J66">
        <v>0.81601622292015652</v>
      </c>
      <c r="K66">
        <v>1.5938464074757461</v>
      </c>
      <c r="L66">
        <v>1.300604525343219</v>
      </c>
      <c r="M66">
        <v>3.7355458346523491</v>
      </c>
      <c r="N66">
        <v>3.4718485433257329</v>
      </c>
      <c r="O66">
        <v>3.2285792638236082</v>
      </c>
      <c r="P66">
        <v>3.0154568080992479</v>
      </c>
      <c r="Q66">
        <v>2.8150364020841838</v>
      </c>
      <c r="R66">
        <v>2.6301352355073018</v>
      </c>
      <c r="S66">
        <v>2.470954430488832</v>
      </c>
      <c r="T66">
        <v>2.323074621277275</v>
      </c>
      <c r="U66">
        <v>2.1824801802698404</v>
      </c>
      <c r="V66">
        <v>2.0367684521757301</v>
      </c>
      <c r="W66">
        <v>1.8966676389338295</v>
      </c>
      <c r="X66">
        <v>1.7755234869634364</v>
      </c>
      <c r="Y66">
        <v>1.6690271755920625</v>
      </c>
      <c r="Z66">
        <v>1.5715986290670951</v>
      </c>
      <c r="AA66">
        <v>1.4770823052984947</v>
      </c>
      <c r="AB66">
        <v>1.3862418783150234</v>
      </c>
      <c r="AC66">
        <v>1.3027912905512722</v>
      </c>
      <c r="AD66">
        <v>1.2293376847439623</v>
      </c>
      <c r="AE66">
        <v>1.1614146163709504</v>
      </c>
      <c r="AF66">
        <v>1.0988131331912947</v>
      </c>
      <c r="AG66">
        <v>1.0430227338025513</v>
      </c>
      <c r="AH66">
        <v>0.99018164225044014</v>
      </c>
      <c r="AI66">
        <v>0.94189101770893247</v>
      </c>
      <c r="AJ66">
        <v>0.89571523971894462</v>
      </c>
      <c r="AK66">
        <v>0.85004660260695819</v>
      </c>
      <c r="AL66">
        <v>0.80834086954145712</v>
      </c>
      <c r="AM66">
        <v>0.77181378512311616</v>
      </c>
      <c r="AN66">
        <v>0.73786264138851876</v>
      </c>
      <c r="AO66">
        <v>0.70746664249879565</v>
      </c>
      <c r="AP66">
        <v>0.67980712335688598</v>
      </c>
      <c r="AQ66">
        <v>0.65247131459898899</v>
      </c>
      <c r="AR66">
        <v>0.62986634527975571</v>
      </c>
      <c r="AS66">
        <v>0.60048685563683346</v>
      </c>
      <c r="AT66">
        <v>0.58048527959952989</v>
      </c>
      <c r="AU66">
        <v>0.56370742914147742</v>
      </c>
      <c r="AV66">
        <v>0.55322801884982264</v>
      </c>
      <c r="AW66">
        <v>0.55222936682757484</v>
      </c>
      <c r="AX66">
        <v>0.56115122228040992</v>
      </c>
      <c r="AY66">
        <v>0.57439198860475238</v>
      </c>
      <c r="AZ66">
        <v>0.59462230897115564</v>
      </c>
      <c r="BA66">
        <v>0.63897487549939547</v>
      </c>
      <c r="BB66">
        <v>0.6641758497089687</v>
      </c>
      <c r="BC66">
        <v>0.66870622767618904</v>
      </c>
      <c r="BD66">
        <v>0.66827879350505082</v>
      </c>
      <c r="BE66">
        <v>0.67167508335982862</v>
      </c>
      <c r="BF66">
        <v>0.67232537081252142</v>
      </c>
      <c r="BG66">
        <v>0.67350287318473467</v>
      </c>
      <c r="BH66">
        <v>0.67716632976096158</v>
      </c>
      <c r="BI66">
        <v>0.67794162046424034</v>
      </c>
      <c r="BJ66">
        <v>0.68552143695519185</v>
      </c>
      <c r="BK66">
        <v>0.69786932037091431</v>
      </c>
      <c r="BL66">
        <v>0.73564137083586112</v>
      </c>
      <c r="BM66">
        <v>0.8011597670165479</v>
      </c>
      <c r="BN66">
        <v>0.85747786005154436</v>
      </c>
      <c r="BO66">
        <v>0.9012438996851817</v>
      </c>
      <c r="BP66">
        <v>0.9174059560451191</v>
      </c>
      <c r="BQ66">
        <v>0.91059207273269838</v>
      </c>
      <c r="BR66">
        <v>0.87891217984884451</v>
      </c>
      <c r="BS66">
        <v>0.84781141356311029</v>
      </c>
      <c r="BT66">
        <v>0.84503481705489647</v>
      </c>
      <c r="BU66">
        <v>0.88136615659618245</v>
      </c>
      <c r="BV66">
        <v>0.95041886909215545</v>
      </c>
      <c r="BW66">
        <v>1.0657188046558841</v>
      </c>
      <c r="BX66">
        <v>1.2485979078987657</v>
      </c>
    </row>
    <row r="67" spans="1:76">
      <c r="A67" t="s">
        <v>207</v>
      </c>
      <c r="B67">
        <v>2008</v>
      </c>
      <c r="C67">
        <v>8</v>
      </c>
      <c r="D67">
        <v>6</v>
      </c>
      <c r="E67">
        <v>12.5</v>
      </c>
      <c r="F67">
        <v>3</v>
      </c>
      <c r="G67">
        <v>1.530168</v>
      </c>
      <c r="H67">
        <v>16.896826013628363</v>
      </c>
      <c r="I67">
        <v>3</v>
      </c>
      <c r="J67">
        <v>0.88362178173831707</v>
      </c>
      <c r="K67">
        <v>1.5323095688836985</v>
      </c>
      <c r="L67">
        <v>1.3539821114316861</v>
      </c>
      <c r="M67">
        <v>4.5597679488182656</v>
      </c>
      <c r="N67">
        <v>4.2317066914831782</v>
      </c>
      <c r="O67">
        <v>3.9290149402494903</v>
      </c>
      <c r="P67">
        <v>3.6641200318938645</v>
      </c>
      <c r="Q67">
        <v>3.4149549695242398</v>
      </c>
      <c r="R67">
        <v>3.1851434933121716</v>
      </c>
      <c r="S67">
        <v>2.9877029202812047</v>
      </c>
      <c r="T67">
        <v>2.804324940625321</v>
      </c>
      <c r="U67">
        <v>2.6297972245785948</v>
      </c>
      <c r="V67">
        <v>2.448534504672061</v>
      </c>
      <c r="W67">
        <v>2.274067849108877</v>
      </c>
      <c r="X67">
        <v>2.123813201453352</v>
      </c>
      <c r="Y67">
        <v>1.9920299672212149</v>
      </c>
      <c r="Z67">
        <v>1.8715591510311538</v>
      </c>
      <c r="AA67">
        <v>1.7546112829288527</v>
      </c>
      <c r="AB67">
        <v>1.6420944540000688</v>
      </c>
      <c r="AC67">
        <v>1.5386957643168599</v>
      </c>
      <c r="AD67">
        <v>1.447970295831899</v>
      </c>
      <c r="AE67">
        <v>1.3640256328835534</v>
      </c>
      <c r="AF67">
        <v>1.2864674446039406</v>
      </c>
      <c r="AG67">
        <v>1.21724520135434</v>
      </c>
      <c r="AH67">
        <v>1.1511531991055108</v>
      </c>
      <c r="AI67">
        <v>1.0903060320805833</v>
      </c>
      <c r="AJ67">
        <v>1.0320146083753527</v>
      </c>
      <c r="AK67">
        <v>0.97593419887457156</v>
      </c>
      <c r="AL67">
        <v>0.92498814266668683</v>
      </c>
      <c r="AM67">
        <v>0.88032517265286137</v>
      </c>
      <c r="AN67">
        <v>0.83885487386790347</v>
      </c>
      <c r="AO67">
        <v>0.80175146892841676</v>
      </c>
      <c r="AP67">
        <v>0.76770094960402724</v>
      </c>
      <c r="AQ67">
        <v>0.73358903738074632</v>
      </c>
      <c r="AR67">
        <v>0.70600722901270752</v>
      </c>
      <c r="AS67">
        <v>0.67019526554947473</v>
      </c>
      <c r="AT67">
        <v>0.64608623539306775</v>
      </c>
      <c r="AU67">
        <v>0.62513052710324923</v>
      </c>
      <c r="AV67">
        <v>0.61130203510317682</v>
      </c>
      <c r="AW67">
        <v>0.60791019547045377</v>
      </c>
      <c r="AX67">
        <v>0.61462193903175888</v>
      </c>
      <c r="AY67">
        <v>0.62545314998451951</v>
      </c>
      <c r="AZ67">
        <v>0.64316013639803604</v>
      </c>
      <c r="BA67">
        <v>0.68492281465717286</v>
      </c>
      <c r="BB67">
        <v>0.70879657137579166</v>
      </c>
      <c r="BC67">
        <v>0.7134111507458003</v>
      </c>
      <c r="BD67">
        <v>0.7132176419884132</v>
      </c>
      <c r="BE67">
        <v>0.7166494915378353</v>
      </c>
      <c r="BF67">
        <v>0.71654668663271304</v>
      </c>
      <c r="BG67">
        <v>0.71701482098631786</v>
      </c>
      <c r="BH67">
        <v>0.72022672335214166</v>
      </c>
      <c r="BI67">
        <v>0.71978025038084126</v>
      </c>
      <c r="BJ67">
        <v>0.72662979571093123</v>
      </c>
      <c r="BK67">
        <v>0.73928295273543121</v>
      </c>
      <c r="BL67">
        <v>0.77974958210747469</v>
      </c>
      <c r="BM67">
        <v>0.85314897391165156</v>
      </c>
      <c r="BN67">
        <v>0.92035812261544558</v>
      </c>
      <c r="BO67">
        <v>0.97415270108332619</v>
      </c>
      <c r="BP67">
        <v>0.99330865738133112</v>
      </c>
      <c r="BQ67">
        <v>0.98118532974233519</v>
      </c>
      <c r="BR67">
        <v>0.93645685388442867</v>
      </c>
      <c r="BS67">
        <v>0.88998855034632507</v>
      </c>
      <c r="BT67">
        <v>0.87580285093251986</v>
      </c>
      <c r="BU67">
        <v>0.90509217662598029</v>
      </c>
      <c r="BV67">
        <v>0.97169821942402712</v>
      </c>
      <c r="BW67">
        <v>1.0850771780369444</v>
      </c>
      <c r="BX67">
        <v>1.2684009478528102</v>
      </c>
    </row>
    <row r="68" spans="1:76">
      <c r="A68" t="s">
        <v>208</v>
      </c>
      <c r="B68">
        <v>2008</v>
      </c>
      <c r="C68">
        <v>8</v>
      </c>
      <c r="D68">
        <v>6</v>
      </c>
      <c r="E68">
        <v>12.899999999999999</v>
      </c>
      <c r="F68">
        <v>3</v>
      </c>
      <c r="G68">
        <v>0.960318</v>
      </c>
      <c r="H68">
        <v>33.320284348518349</v>
      </c>
      <c r="I68">
        <v>3.6</v>
      </c>
      <c r="J68">
        <v>0.98062101322472295</v>
      </c>
      <c r="K68">
        <v>1.281319836155447</v>
      </c>
      <c r="L68">
        <v>1.2564891559956903</v>
      </c>
      <c r="M68">
        <v>3.6349704334608988</v>
      </c>
      <c r="N68">
        <v>3.4295504035125979</v>
      </c>
      <c r="O68">
        <v>3.2352957494829777</v>
      </c>
      <c r="P68">
        <v>3.0755483639560905</v>
      </c>
      <c r="Q68">
        <v>2.9166215554873669</v>
      </c>
      <c r="R68">
        <v>2.76680210407185</v>
      </c>
      <c r="S68">
        <v>2.6496763943379116</v>
      </c>
      <c r="T68">
        <v>2.5369352375883607</v>
      </c>
      <c r="U68">
        <v>2.4213794093838525</v>
      </c>
      <c r="V68">
        <v>2.2792595218776315</v>
      </c>
      <c r="W68">
        <v>2.1339885744680855</v>
      </c>
      <c r="X68">
        <v>2.0166143715438607</v>
      </c>
      <c r="Y68">
        <v>1.9181609086002571</v>
      </c>
      <c r="Z68">
        <v>1.8276900056392469</v>
      </c>
      <c r="AA68">
        <v>1.7333751120007457</v>
      </c>
      <c r="AB68">
        <v>1.637405674304258</v>
      </c>
      <c r="AC68">
        <v>1.5481905175790684</v>
      </c>
      <c r="AD68">
        <v>1.4728700475085941</v>
      </c>
      <c r="AE68">
        <v>1.4018368918585131</v>
      </c>
      <c r="AF68">
        <v>1.334698603943745</v>
      </c>
      <c r="AG68">
        <v>1.275323094967928</v>
      </c>
      <c r="AH68">
        <v>1.214869595211735</v>
      </c>
      <c r="AI68">
        <v>1.1574451716581664</v>
      </c>
      <c r="AJ68">
        <v>1.099979315875427</v>
      </c>
      <c r="AK68">
        <v>1.0463557954573257</v>
      </c>
      <c r="AL68">
        <v>0.99816494366466713</v>
      </c>
      <c r="AM68">
        <v>0.95666177029954502</v>
      </c>
      <c r="AN68">
        <v>0.91752747816118163</v>
      </c>
      <c r="AO68">
        <v>0.88280938035131595</v>
      </c>
      <c r="AP68">
        <v>0.84991173939647691</v>
      </c>
      <c r="AQ68">
        <v>0.81373036851228431</v>
      </c>
      <c r="AR68">
        <v>0.78788022136868119</v>
      </c>
      <c r="AS68">
        <v>0.747424867528098</v>
      </c>
      <c r="AT68">
        <v>0.72461731549792874</v>
      </c>
      <c r="AU68">
        <v>0.70352598659818721</v>
      </c>
      <c r="AV68">
        <v>0.69115646055130719</v>
      </c>
      <c r="AW68">
        <v>0.69140959339211228</v>
      </c>
      <c r="AX68">
        <v>0.70155818397480252</v>
      </c>
      <c r="AY68">
        <v>0.71423250599529542</v>
      </c>
      <c r="AZ68">
        <v>0.73251106451641057</v>
      </c>
      <c r="BA68">
        <v>0.77376961200919314</v>
      </c>
      <c r="BB68">
        <v>0.79996498676875971</v>
      </c>
      <c r="BC68">
        <v>0.81055540446945562</v>
      </c>
      <c r="BD68">
        <v>0.81622746993040307</v>
      </c>
      <c r="BE68">
        <v>0.82438103007296637</v>
      </c>
      <c r="BF68">
        <v>0.82611627400822985</v>
      </c>
      <c r="BG68">
        <v>0.82812437059741806</v>
      </c>
      <c r="BH68">
        <v>0.83326303267041135</v>
      </c>
      <c r="BI68">
        <v>0.83204167238705939</v>
      </c>
      <c r="BJ68">
        <v>0.8392593303322311</v>
      </c>
      <c r="BK68">
        <v>0.85512790820593521</v>
      </c>
      <c r="BL68">
        <v>0.90567653992083563</v>
      </c>
      <c r="BM68">
        <v>1.0045940826290194</v>
      </c>
      <c r="BN68">
        <v>1.1064180184002588</v>
      </c>
      <c r="BO68">
        <v>1.1920874285179277</v>
      </c>
      <c r="BP68">
        <v>1.2215581120218368</v>
      </c>
      <c r="BQ68">
        <v>1.1942651747274384</v>
      </c>
      <c r="BR68">
        <v>1.1106542483331354</v>
      </c>
      <c r="BS68">
        <v>1.0180384567506873</v>
      </c>
      <c r="BT68">
        <v>0.96949096555744207</v>
      </c>
      <c r="BU68">
        <v>0.9773620837197895</v>
      </c>
      <c r="BV68">
        <v>1.0362660515951512</v>
      </c>
      <c r="BW68">
        <v>1.1430216306914953</v>
      </c>
      <c r="BX68">
        <v>1.3262635828159082</v>
      </c>
    </row>
    <row r="69" spans="1:76">
      <c r="A69" t="s">
        <v>209</v>
      </c>
      <c r="B69">
        <v>2008</v>
      </c>
      <c r="C69">
        <v>8</v>
      </c>
      <c r="D69">
        <v>6</v>
      </c>
      <c r="E69">
        <v>13.150000000000002</v>
      </c>
      <c r="F69">
        <v>3</v>
      </c>
      <c r="G69">
        <v>0.85550899999999996</v>
      </c>
      <c r="H69">
        <v>16.299835790366078</v>
      </c>
      <c r="I69">
        <v>3.6</v>
      </c>
      <c r="J69">
        <v>0.89147851929934319</v>
      </c>
      <c r="K69">
        <v>1.2811196115906143</v>
      </c>
      <c r="L69">
        <v>1.1420906143861504</v>
      </c>
      <c r="M69">
        <v>3.1996756532082076</v>
      </c>
      <c r="N69">
        <v>3.0056234246815468</v>
      </c>
      <c r="O69">
        <v>2.824480319904251</v>
      </c>
      <c r="P69">
        <v>2.6698616976051199</v>
      </c>
      <c r="Q69">
        <v>2.5206745746921881</v>
      </c>
      <c r="R69">
        <v>2.381502609049627</v>
      </c>
      <c r="S69">
        <v>2.2662713643849335</v>
      </c>
      <c r="T69">
        <v>2.1574000697265046</v>
      </c>
      <c r="U69">
        <v>2.0503865434517143</v>
      </c>
      <c r="V69">
        <v>1.9302210462370324</v>
      </c>
      <c r="W69">
        <v>1.8110859450381334</v>
      </c>
      <c r="X69">
        <v>1.710944156189103</v>
      </c>
      <c r="Y69">
        <v>1.6245500354990745</v>
      </c>
      <c r="Z69">
        <v>1.5451702802945553</v>
      </c>
      <c r="AA69">
        <v>1.4653878738498736</v>
      </c>
      <c r="AB69">
        <v>1.3864803263559331</v>
      </c>
      <c r="AC69">
        <v>1.3134862581044966</v>
      </c>
      <c r="AD69">
        <v>1.25024793357674</v>
      </c>
      <c r="AE69">
        <v>1.19114574113099</v>
      </c>
      <c r="AF69">
        <v>1.1360387648900834</v>
      </c>
      <c r="AG69">
        <v>1.0871056865027287</v>
      </c>
      <c r="AH69">
        <v>1.0393540453362586</v>
      </c>
      <c r="AI69">
        <v>0.99507940002868744</v>
      </c>
      <c r="AJ69">
        <v>0.95169791159049288</v>
      </c>
      <c r="AK69">
        <v>0.90884028645381698</v>
      </c>
      <c r="AL69">
        <v>0.86973651282604525</v>
      </c>
      <c r="AM69">
        <v>0.83572366994986891</v>
      </c>
      <c r="AN69">
        <v>0.80377665910537754</v>
      </c>
      <c r="AO69">
        <v>0.77521105648947541</v>
      </c>
      <c r="AP69">
        <v>0.74883374675851733</v>
      </c>
      <c r="AQ69">
        <v>0.72156457129348528</v>
      </c>
      <c r="AR69">
        <v>0.70010813150673812</v>
      </c>
      <c r="AS69">
        <v>0.66946520561370682</v>
      </c>
      <c r="AT69">
        <v>0.65017676601018026</v>
      </c>
      <c r="AU69">
        <v>0.63364121454518352</v>
      </c>
      <c r="AV69">
        <v>0.62399728599393434</v>
      </c>
      <c r="AW69">
        <v>0.62474680036519503</v>
      </c>
      <c r="AX69">
        <v>0.63560754153907228</v>
      </c>
      <c r="AY69">
        <v>0.65032503167924993</v>
      </c>
      <c r="AZ69">
        <v>0.67177355379680148</v>
      </c>
      <c r="BA69">
        <v>0.71775513175486327</v>
      </c>
      <c r="BB69">
        <v>0.74461013139361598</v>
      </c>
      <c r="BC69">
        <v>0.75106712049723279</v>
      </c>
      <c r="BD69">
        <v>0.75229200480999325</v>
      </c>
      <c r="BE69">
        <v>0.75706985150683881</v>
      </c>
      <c r="BF69">
        <v>0.7580997526400497</v>
      </c>
      <c r="BG69">
        <v>0.75953599934016092</v>
      </c>
      <c r="BH69">
        <v>0.76361042952188862</v>
      </c>
      <c r="BI69">
        <v>0.76386150487726723</v>
      </c>
      <c r="BJ69">
        <v>0.77144265125205291</v>
      </c>
      <c r="BK69">
        <v>0.78475671792832569</v>
      </c>
      <c r="BL69">
        <v>0.82633975082005096</v>
      </c>
      <c r="BM69">
        <v>0.90109410010726065</v>
      </c>
      <c r="BN69">
        <v>0.9689731593183365</v>
      </c>
      <c r="BO69">
        <v>1.0230529874992706</v>
      </c>
      <c r="BP69">
        <v>1.042265973373846</v>
      </c>
      <c r="BQ69">
        <v>1.0302411057225334</v>
      </c>
      <c r="BR69">
        <v>0.98554284537731474</v>
      </c>
      <c r="BS69">
        <v>0.93929369502083992</v>
      </c>
      <c r="BT69">
        <v>0.92575908259266781</v>
      </c>
      <c r="BU69">
        <v>0.95642547084615337</v>
      </c>
      <c r="BV69">
        <v>1.0249187927440859</v>
      </c>
      <c r="BW69">
        <v>1.1415034592202353</v>
      </c>
      <c r="BX69">
        <v>1.3298246480466673</v>
      </c>
    </row>
    <row r="70" spans="1:76">
      <c r="A70" t="s">
        <v>214</v>
      </c>
      <c r="B70">
        <v>2008</v>
      </c>
      <c r="C70">
        <v>12</v>
      </c>
      <c r="D70">
        <v>9</v>
      </c>
      <c r="E70">
        <v>10.916666666666666</v>
      </c>
      <c r="F70">
        <v>3</v>
      </c>
      <c r="G70">
        <v>0.42599999999999999</v>
      </c>
      <c r="H70">
        <v>5.6649337552055723</v>
      </c>
      <c r="I70">
        <v>2.5</v>
      </c>
      <c r="J70">
        <v>0.69622870632301981</v>
      </c>
      <c r="K70">
        <v>1.8231427012877186</v>
      </c>
      <c r="L70">
        <v>1.269324284359804</v>
      </c>
      <c r="M70">
        <v>1.9592711412707682</v>
      </c>
      <c r="N70">
        <v>1.843340247605193</v>
      </c>
      <c r="O70">
        <v>1.7355297993998424</v>
      </c>
      <c r="P70">
        <v>1.6429237513039201</v>
      </c>
      <c r="Q70">
        <v>1.5540386359346239</v>
      </c>
      <c r="R70">
        <v>1.4712094470559069</v>
      </c>
      <c r="S70">
        <v>1.4017787609450127</v>
      </c>
      <c r="T70">
        <v>1.3363231507946842</v>
      </c>
      <c r="U70">
        <v>1.2727073718749435</v>
      </c>
      <c r="V70">
        <v>1.2024487984990375</v>
      </c>
      <c r="W70">
        <v>1.1334147044674723</v>
      </c>
      <c r="X70">
        <v>1.0741129470081903</v>
      </c>
      <c r="Y70">
        <v>1.0223829506546158</v>
      </c>
      <c r="Z70">
        <v>0.97478956729760347</v>
      </c>
      <c r="AA70">
        <v>0.92727726383133824</v>
      </c>
      <c r="AB70">
        <v>0.88064967929302884</v>
      </c>
      <c r="AC70">
        <v>0.8377075046217719</v>
      </c>
      <c r="AD70">
        <v>0.79994345908229891</v>
      </c>
      <c r="AE70">
        <v>0.76486930165850897</v>
      </c>
      <c r="AF70">
        <v>0.73271551503169086</v>
      </c>
      <c r="AG70">
        <v>0.70457586561804297</v>
      </c>
      <c r="AH70">
        <v>0.67852636772649921</v>
      </c>
      <c r="AI70">
        <v>0.65563418021711817</v>
      </c>
      <c r="AJ70">
        <v>0.63349181896095053</v>
      </c>
      <c r="AK70">
        <v>0.60770221333501562</v>
      </c>
      <c r="AL70">
        <v>0.58369506801902604</v>
      </c>
      <c r="AM70">
        <v>0.56322484517503613</v>
      </c>
      <c r="AN70">
        <v>0.54408696319992123</v>
      </c>
      <c r="AO70">
        <v>0.52721514192365515</v>
      </c>
      <c r="AP70">
        <v>0.51269098339855845</v>
      </c>
      <c r="AQ70">
        <v>0.49896331138310934</v>
      </c>
      <c r="AR70">
        <v>0.48704770015290422</v>
      </c>
      <c r="AS70">
        <v>0.46937994515708026</v>
      </c>
      <c r="AT70">
        <v>0.45830017054426447</v>
      </c>
      <c r="AU70">
        <v>0.45108178719520975</v>
      </c>
      <c r="AV70">
        <v>0.44962912127960586</v>
      </c>
      <c r="AW70">
        <v>0.45752174699277903</v>
      </c>
      <c r="AX70">
        <v>0.47677674897543021</v>
      </c>
      <c r="AY70">
        <v>0.50126795633472554</v>
      </c>
      <c r="AZ70">
        <v>0.53405184316109677</v>
      </c>
      <c r="BA70">
        <v>0.59568035104318395</v>
      </c>
      <c r="BB70">
        <v>0.63145195623096251</v>
      </c>
      <c r="BC70">
        <v>0.63941842646752978</v>
      </c>
      <c r="BD70">
        <v>0.6409860576955092</v>
      </c>
      <c r="BE70">
        <v>0.64740923688870389</v>
      </c>
      <c r="BF70">
        <v>0.65194062935658648</v>
      </c>
      <c r="BG70">
        <v>0.65691400162772329</v>
      </c>
      <c r="BH70">
        <v>0.66427989603282778</v>
      </c>
      <c r="BI70">
        <v>0.66957583020902234</v>
      </c>
      <c r="BJ70">
        <v>0.68199794993519958</v>
      </c>
      <c r="BK70">
        <v>0.69807930503161919</v>
      </c>
      <c r="BL70">
        <v>0.74009366707601354</v>
      </c>
      <c r="BM70">
        <v>0.8054277851702889</v>
      </c>
      <c r="BN70">
        <v>0.85382628450546982</v>
      </c>
      <c r="BO70">
        <v>0.88875673190344173</v>
      </c>
      <c r="BP70">
        <v>0.90402231563106539</v>
      </c>
      <c r="BQ70">
        <v>0.9076099066141019</v>
      </c>
      <c r="BR70">
        <v>0.89614266167738976</v>
      </c>
      <c r="BS70">
        <v>0.88980707722635022</v>
      </c>
      <c r="BT70">
        <v>0.90987344655584068</v>
      </c>
      <c r="BU70">
        <v>0.96852402954794892</v>
      </c>
      <c r="BV70">
        <v>1.0576520981167361</v>
      </c>
      <c r="BW70">
        <v>1.2013602886085439</v>
      </c>
      <c r="BX70">
        <v>1.4217599951518454</v>
      </c>
    </row>
    <row r="71" spans="1:76">
      <c r="A71" t="s">
        <v>215</v>
      </c>
      <c r="B71">
        <v>2008</v>
      </c>
      <c r="C71">
        <v>12</v>
      </c>
      <c r="D71">
        <v>9</v>
      </c>
      <c r="E71">
        <v>11.066666666666666</v>
      </c>
      <c r="F71">
        <v>3</v>
      </c>
      <c r="G71">
        <v>0.37053399999999997</v>
      </c>
      <c r="H71">
        <v>2.4219041661908887</v>
      </c>
      <c r="I71">
        <v>1</v>
      </c>
      <c r="J71">
        <v>0.47159199796691809</v>
      </c>
      <c r="K71">
        <v>4.5011194786968085</v>
      </c>
      <c r="L71">
        <v>2.1226919280464407</v>
      </c>
      <c r="M71">
        <v>1.3689963045908971</v>
      </c>
      <c r="N71">
        <v>1.2725588600046562</v>
      </c>
      <c r="O71">
        <v>1.1840272097155169</v>
      </c>
      <c r="P71">
        <v>1.1067898462382884</v>
      </c>
      <c r="Q71">
        <v>1.0342951826984044</v>
      </c>
      <c r="R71">
        <v>0.967500789463419</v>
      </c>
      <c r="S71">
        <v>0.91006296148215404</v>
      </c>
      <c r="T71">
        <v>0.85675253354942049</v>
      </c>
      <c r="U71">
        <v>0.80651486182691989</v>
      </c>
      <c r="V71">
        <v>0.75428375972192252</v>
      </c>
      <c r="W71">
        <v>0.70438752632774493</v>
      </c>
      <c r="X71">
        <v>0.66032181243160137</v>
      </c>
      <c r="Y71">
        <v>0.62139586880526254</v>
      </c>
      <c r="Z71">
        <v>0.58582820988024098</v>
      </c>
      <c r="AA71">
        <v>0.55129326109320809</v>
      </c>
      <c r="AB71">
        <v>0.51827293543522868</v>
      </c>
      <c r="AC71">
        <v>0.48830556474857978</v>
      </c>
      <c r="AD71">
        <v>0.46163986743134011</v>
      </c>
      <c r="AE71">
        <v>0.43736092875054922</v>
      </c>
      <c r="AF71">
        <v>0.41583015669629819</v>
      </c>
      <c r="AG71">
        <v>0.39751552735770712</v>
      </c>
      <c r="AH71">
        <v>0.3820345924861337</v>
      </c>
      <c r="AI71">
        <v>0.36976502342593098</v>
      </c>
      <c r="AJ71">
        <v>0.35849528899958494</v>
      </c>
      <c r="AK71">
        <v>0.34214436968187018</v>
      </c>
      <c r="AL71">
        <v>0.32682631176662563</v>
      </c>
      <c r="AM71">
        <v>0.314319782505253</v>
      </c>
      <c r="AN71">
        <v>0.30294389537729322</v>
      </c>
      <c r="AO71">
        <v>0.29332519832613946</v>
      </c>
      <c r="AP71">
        <v>0.28610875600882135</v>
      </c>
      <c r="AQ71">
        <v>0.28058952204235804</v>
      </c>
      <c r="AR71">
        <v>0.27490139474381076</v>
      </c>
      <c r="AS71">
        <v>0.26580354590271216</v>
      </c>
      <c r="AT71">
        <v>0.26043675237090452</v>
      </c>
      <c r="AU71">
        <v>0.25912940749663482</v>
      </c>
      <c r="AV71">
        <v>0.26249601445100562</v>
      </c>
      <c r="AW71">
        <v>0.27380693219807706</v>
      </c>
      <c r="AX71">
        <v>0.29606793847227053</v>
      </c>
      <c r="AY71">
        <v>0.32392627273942654</v>
      </c>
      <c r="AZ71">
        <v>0.36033800573737906</v>
      </c>
      <c r="BA71">
        <v>0.42573745737444402</v>
      </c>
      <c r="BB71">
        <v>0.46436342120233587</v>
      </c>
      <c r="BC71">
        <v>0.47373741757278931</v>
      </c>
      <c r="BD71">
        <v>0.47663033059603049</v>
      </c>
      <c r="BE71">
        <v>0.48468227300911598</v>
      </c>
      <c r="BF71">
        <v>0.49185324439792805</v>
      </c>
      <c r="BG71">
        <v>0.49947160787292938</v>
      </c>
      <c r="BH71">
        <v>0.50922858910407676</v>
      </c>
      <c r="BI71">
        <v>0.51787978425018566</v>
      </c>
      <c r="BJ71">
        <v>0.53312522931166706</v>
      </c>
      <c r="BK71">
        <v>0.55085116616575902</v>
      </c>
      <c r="BL71">
        <v>0.59181335346413477</v>
      </c>
      <c r="BM71">
        <v>0.65013223979217893</v>
      </c>
      <c r="BN71">
        <v>0.68792536523376224</v>
      </c>
      <c r="BO71">
        <v>0.71323772578531108</v>
      </c>
      <c r="BP71">
        <v>0.72714793052323445</v>
      </c>
      <c r="BQ71">
        <v>0.73918985221041567</v>
      </c>
      <c r="BR71">
        <v>0.74528799145215074</v>
      </c>
      <c r="BS71">
        <v>0.75931465654061792</v>
      </c>
      <c r="BT71">
        <v>0.79521459702788777</v>
      </c>
      <c r="BU71">
        <v>0.86477564439931354</v>
      </c>
      <c r="BV71">
        <v>0.95958118577356577</v>
      </c>
      <c r="BW71">
        <v>1.1087341039934255</v>
      </c>
      <c r="BX71">
        <v>1.3323115830342431</v>
      </c>
    </row>
    <row r="72" spans="1:76">
      <c r="A72" t="s">
        <v>216</v>
      </c>
      <c r="B72">
        <v>2008</v>
      </c>
      <c r="C72">
        <v>12</v>
      </c>
      <c r="D72">
        <v>9</v>
      </c>
      <c r="E72">
        <v>11.233333333333333</v>
      </c>
      <c r="F72">
        <v>3</v>
      </c>
      <c r="G72">
        <v>0.467746</v>
      </c>
      <c r="H72">
        <v>2.2917603398550974</v>
      </c>
      <c r="I72">
        <v>1.7</v>
      </c>
      <c r="J72">
        <v>0.57190284637440425</v>
      </c>
      <c r="K72">
        <v>2.6893172721737599</v>
      </c>
      <c r="L72">
        <v>1.5380282027600218</v>
      </c>
      <c r="M72">
        <v>1.7911896462474335</v>
      </c>
      <c r="N72">
        <v>1.666484322110616</v>
      </c>
      <c r="O72">
        <v>1.5520949111493265</v>
      </c>
      <c r="P72">
        <v>1.4510191557998533</v>
      </c>
      <c r="Q72">
        <v>1.3567497508625792</v>
      </c>
      <c r="R72">
        <v>1.2700023716721978</v>
      </c>
      <c r="S72">
        <v>1.1940939249483575</v>
      </c>
      <c r="T72">
        <v>1.1238519834745135</v>
      </c>
      <c r="U72">
        <v>1.0581405891051197</v>
      </c>
      <c r="V72">
        <v>0.99194579358689383</v>
      </c>
      <c r="W72">
        <v>0.9293121120947696</v>
      </c>
      <c r="X72">
        <v>0.87338758089439461</v>
      </c>
      <c r="Y72">
        <v>0.82345266628508507</v>
      </c>
      <c r="Z72">
        <v>0.77771896492578152</v>
      </c>
      <c r="AA72">
        <v>0.73387094674752906</v>
      </c>
      <c r="AB72">
        <v>0.69229968570993461</v>
      </c>
      <c r="AC72">
        <v>0.65440223540489262</v>
      </c>
      <c r="AD72">
        <v>0.62029987943183484</v>
      </c>
      <c r="AE72">
        <v>0.58909648747792653</v>
      </c>
      <c r="AF72">
        <v>0.5611059999259701</v>
      </c>
      <c r="AG72">
        <v>0.53671608265240767</v>
      </c>
      <c r="AH72">
        <v>0.51557889282356872</v>
      </c>
      <c r="AI72">
        <v>0.49801201340961943</v>
      </c>
      <c r="AJ72">
        <v>0.48179723394930507</v>
      </c>
      <c r="AK72">
        <v>0.46073992033833611</v>
      </c>
      <c r="AL72">
        <v>0.44094393706940449</v>
      </c>
      <c r="AM72">
        <v>0.42417637445301343</v>
      </c>
      <c r="AN72">
        <v>0.40876455267445749</v>
      </c>
      <c r="AO72">
        <v>0.39531073651322973</v>
      </c>
      <c r="AP72">
        <v>0.38448646967405092</v>
      </c>
      <c r="AQ72">
        <v>0.37561757491863823</v>
      </c>
      <c r="AR72">
        <v>0.36666776541755108</v>
      </c>
      <c r="AS72">
        <v>0.35451616667555796</v>
      </c>
      <c r="AT72">
        <v>0.34618287066344672</v>
      </c>
      <c r="AU72">
        <v>0.34215833015670893</v>
      </c>
      <c r="AV72">
        <v>0.34301662195779986</v>
      </c>
      <c r="AW72">
        <v>0.35208100155054456</v>
      </c>
      <c r="AX72">
        <v>0.37241677299515019</v>
      </c>
      <c r="AY72">
        <v>0.39851062317450525</v>
      </c>
      <c r="AZ72">
        <v>0.43328578736700152</v>
      </c>
      <c r="BA72">
        <v>0.4972297632623261</v>
      </c>
      <c r="BB72">
        <v>0.5340704616546591</v>
      </c>
      <c r="BC72">
        <v>0.5415024748297006</v>
      </c>
      <c r="BD72">
        <v>0.54249019254753295</v>
      </c>
      <c r="BE72">
        <v>0.54873024276692006</v>
      </c>
      <c r="BF72">
        <v>0.55418757924369755</v>
      </c>
      <c r="BG72">
        <v>0.56014373993995248</v>
      </c>
      <c r="BH72">
        <v>0.56827734625753212</v>
      </c>
      <c r="BI72">
        <v>0.57538806644695362</v>
      </c>
      <c r="BJ72">
        <v>0.58911696141723702</v>
      </c>
      <c r="BK72">
        <v>0.60530458103257445</v>
      </c>
      <c r="BL72">
        <v>0.64464138713675678</v>
      </c>
      <c r="BM72">
        <v>0.70105569183813043</v>
      </c>
      <c r="BN72">
        <v>0.73678800513788523</v>
      </c>
      <c r="BO72">
        <v>0.76011259519224206</v>
      </c>
      <c r="BP72">
        <v>0.77245032573383998</v>
      </c>
      <c r="BQ72">
        <v>0.7833988102687891</v>
      </c>
      <c r="BR72">
        <v>0.78885296490326162</v>
      </c>
      <c r="BS72">
        <v>0.80237579468787734</v>
      </c>
      <c r="BT72">
        <v>0.83755272824765781</v>
      </c>
      <c r="BU72">
        <v>0.90613156063172784</v>
      </c>
      <c r="BV72">
        <v>0.99968532882490779</v>
      </c>
      <c r="BW72">
        <v>1.1475065555909936</v>
      </c>
      <c r="BX72">
        <v>1.3695484328957439</v>
      </c>
    </row>
    <row r="73" spans="1:76">
      <c r="A73" t="s">
        <v>217</v>
      </c>
      <c r="B73">
        <v>2008</v>
      </c>
      <c r="C73">
        <v>12</v>
      </c>
      <c r="D73">
        <v>9</v>
      </c>
      <c r="E73">
        <v>11.45</v>
      </c>
      <c r="F73">
        <v>3</v>
      </c>
      <c r="G73">
        <v>0.44044100000000003</v>
      </c>
      <c r="H73">
        <v>2.672665080184101</v>
      </c>
      <c r="I73">
        <v>0.9</v>
      </c>
      <c r="J73">
        <v>0.47965611892403465</v>
      </c>
      <c r="K73">
        <v>4.9248447260304102</v>
      </c>
      <c r="L73">
        <v>2.3622319075912475</v>
      </c>
      <c r="M73">
        <v>1.5386113399801455</v>
      </c>
      <c r="N73">
        <v>1.426006021029333</v>
      </c>
      <c r="O73">
        <v>1.3227290671155791</v>
      </c>
      <c r="P73">
        <v>1.2323495219452127</v>
      </c>
      <c r="Q73">
        <v>1.1477849279718009</v>
      </c>
      <c r="R73">
        <v>1.0700022304525152</v>
      </c>
      <c r="S73">
        <v>1.0028687828284195</v>
      </c>
      <c r="T73">
        <v>0.94071627174597328</v>
      </c>
      <c r="U73">
        <v>0.88231839697872316</v>
      </c>
      <c r="V73">
        <v>0.82225875708148288</v>
      </c>
      <c r="W73">
        <v>0.76509397726903161</v>
      </c>
      <c r="X73">
        <v>0.71468185027128217</v>
      </c>
      <c r="Y73">
        <v>0.67014778731646119</v>
      </c>
      <c r="Z73">
        <v>0.62952183900276959</v>
      </c>
      <c r="AA73">
        <v>0.5902947223560755</v>
      </c>
      <c r="AB73">
        <v>0.55293400739700749</v>
      </c>
      <c r="AC73">
        <v>0.51903662232709236</v>
      </c>
      <c r="AD73">
        <v>0.48891912696676909</v>
      </c>
      <c r="AE73">
        <v>0.46150139283639163</v>
      </c>
      <c r="AF73">
        <v>0.43709908130958464</v>
      </c>
      <c r="AG73">
        <v>0.41619758135490564</v>
      </c>
      <c r="AH73">
        <v>0.3982541060165698</v>
      </c>
      <c r="AI73">
        <v>0.38367984746103234</v>
      </c>
      <c r="AJ73">
        <v>0.37025579968115457</v>
      </c>
      <c r="AK73">
        <v>0.35211018258075955</v>
      </c>
      <c r="AL73">
        <v>0.33520423482590256</v>
      </c>
      <c r="AM73">
        <v>0.3212726697910771</v>
      </c>
      <c r="AN73">
        <v>0.30860051207419276</v>
      </c>
      <c r="AO73">
        <v>0.29781640796647757</v>
      </c>
      <c r="AP73">
        <v>0.28949287268897994</v>
      </c>
      <c r="AQ73">
        <v>0.28285560491867273</v>
      </c>
      <c r="AR73">
        <v>0.27630723173104743</v>
      </c>
      <c r="AS73">
        <v>0.26628063476861558</v>
      </c>
      <c r="AT73">
        <v>0.26023692050189917</v>
      </c>
      <c r="AU73">
        <v>0.25823226304356428</v>
      </c>
      <c r="AV73">
        <v>0.26097769081101085</v>
      </c>
      <c r="AW73">
        <v>0.27172702322868031</v>
      </c>
      <c r="AX73">
        <v>0.2933900175882781</v>
      </c>
      <c r="AY73">
        <v>0.32064955777369408</v>
      </c>
      <c r="AZ73">
        <v>0.35645953453089846</v>
      </c>
      <c r="BA73">
        <v>0.42115927823467436</v>
      </c>
      <c r="BB73">
        <v>0.45943960378109983</v>
      </c>
      <c r="BC73">
        <v>0.46878540531774171</v>
      </c>
      <c r="BD73">
        <v>0.47171299083343343</v>
      </c>
      <c r="BE73">
        <v>0.47977030957783551</v>
      </c>
      <c r="BF73">
        <v>0.48688273010462957</v>
      </c>
      <c r="BG73">
        <v>0.49445772216266559</v>
      </c>
      <c r="BH73">
        <v>0.50420030906285107</v>
      </c>
      <c r="BI73">
        <v>0.5127724927327979</v>
      </c>
      <c r="BJ73">
        <v>0.52797251710426607</v>
      </c>
      <c r="BK73">
        <v>0.54575933955991118</v>
      </c>
      <c r="BL73">
        <v>0.58694580116045703</v>
      </c>
      <c r="BM73">
        <v>0.64596910226715176</v>
      </c>
      <c r="BN73">
        <v>0.68486471733153809</v>
      </c>
      <c r="BO73">
        <v>0.71124295766457446</v>
      </c>
      <c r="BP73">
        <v>0.72554013072641066</v>
      </c>
      <c r="BQ73">
        <v>0.73712385129429658</v>
      </c>
      <c r="BR73">
        <v>0.74199198695252777</v>
      </c>
      <c r="BS73">
        <v>0.75452419160157258</v>
      </c>
      <c r="BT73">
        <v>0.78926156770544342</v>
      </c>
      <c r="BU73">
        <v>0.85799129904603966</v>
      </c>
      <c r="BV73">
        <v>0.95235088252388045</v>
      </c>
      <c r="BW73">
        <v>1.1009186067744268</v>
      </c>
      <c r="BX73">
        <v>1.3238885235912294</v>
      </c>
    </row>
    <row r="74" spans="1:76">
      <c r="A74" t="s">
        <v>218</v>
      </c>
      <c r="B74">
        <v>2008</v>
      </c>
      <c r="C74">
        <v>12</v>
      </c>
      <c r="D74">
        <v>9</v>
      </c>
      <c r="E74">
        <v>11.533333333333333</v>
      </c>
      <c r="F74">
        <v>3</v>
      </c>
      <c r="G74">
        <v>0.53837199999999996</v>
      </c>
      <c r="H74">
        <v>3.4895471472446808</v>
      </c>
      <c r="I74">
        <v>1.4</v>
      </c>
      <c r="J74">
        <v>0.56791194966674785</v>
      </c>
      <c r="K74">
        <v>3.2380229311875723</v>
      </c>
      <c r="L74">
        <v>1.8389119159163718</v>
      </c>
      <c r="M74">
        <v>1.9432683700687896</v>
      </c>
      <c r="N74">
        <v>1.8043925026618408</v>
      </c>
      <c r="O74">
        <v>1.6767967838310274</v>
      </c>
      <c r="P74">
        <v>1.5648690989334442</v>
      </c>
      <c r="Q74">
        <v>1.4600480428442835</v>
      </c>
      <c r="R74">
        <v>1.3635280002900272</v>
      </c>
      <c r="S74">
        <v>1.2800356507890587</v>
      </c>
      <c r="T74">
        <v>1.2026608261604808</v>
      </c>
      <c r="U74">
        <v>1.129780787144975</v>
      </c>
      <c r="V74">
        <v>1.0549688023684269</v>
      </c>
      <c r="W74">
        <v>0.98364273365324062</v>
      </c>
      <c r="X74">
        <v>0.92092459481561417</v>
      </c>
      <c r="Y74">
        <v>0.86547080906254992</v>
      </c>
      <c r="Z74">
        <v>0.81480124890102856</v>
      </c>
      <c r="AA74">
        <v>0.76588430104237648</v>
      </c>
      <c r="AB74">
        <v>0.71921819321020297</v>
      </c>
      <c r="AC74">
        <v>0.67668289165708218</v>
      </c>
      <c r="AD74">
        <v>0.63887859300952932</v>
      </c>
      <c r="AE74">
        <v>0.60426029800868053</v>
      </c>
      <c r="AF74">
        <v>0.5730677743586623</v>
      </c>
      <c r="AG74">
        <v>0.54591492648003326</v>
      </c>
      <c r="AH74">
        <v>0.52181396586444428</v>
      </c>
      <c r="AI74">
        <v>0.5013333628032246</v>
      </c>
      <c r="AJ74">
        <v>0.48218537825222385</v>
      </c>
      <c r="AK74">
        <v>0.45893679599537418</v>
      </c>
      <c r="AL74">
        <v>0.43732807251467037</v>
      </c>
      <c r="AM74">
        <v>0.41906681584536348</v>
      </c>
      <c r="AN74">
        <v>0.40228740424069653</v>
      </c>
      <c r="AO74">
        <v>0.3876854195197727</v>
      </c>
      <c r="AP74">
        <v>0.37567267504425567</v>
      </c>
      <c r="AQ74">
        <v>0.36524333410402032</v>
      </c>
      <c r="AR74">
        <v>0.35555233720485147</v>
      </c>
      <c r="AS74">
        <v>0.34186584019734545</v>
      </c>
      <c r="AT74">
        <v>0.3330306321474199</v>
      </c>
      <c r="AU74">
        <v>0.32829484203749704</v>
      </c>
      <c r="AV74">
        <v>0.32870966963167658</v>
      </c>
      <c r="AW74">
        <v>0.33762035016904829</v>
      </c>
      <c r="AX74">
        <v>0.35767588380623638</v>
      </c>
      <c r="AY74">
        <v>0.38330979496653939</v>
      </c>
      <c r="AZ74">
        <v>0.41748872639742235</v>
      </c>
      <c r="BA74">
        <v>0.48058163457107761</v>
      </c>
      <c r="BB74">
        <v>0.51747987043195931</v>
      </c>
      <c r="BC74">
        <v>0.52585257040193145</v>
      </c>
      <c r="BD74">
        <v>0.52786627750599835</v>
      </c>
      <c r="BE74">
        <v>0.534966813914316</v>
      </c>
      <c r="BF74">
        <v>0.540883651070454</v>
      </c>
      <c r="BG74">
        <v>0.54729135741151891</v>
      </c>
      <c r="BH74">
        <v>0.55596196924713281</v>
      </c>
      <c r="BI74">
        <v>0.56322730809568489</v>
      </c>
      <c r="BJ74">
        <v>0.57728506980713701</v>
      </c>
      <c r="BK74">
        <v>0.59426479615489614</v>
      </c>
      <c r="BL74">
        <v>0.63537870858182321</v>
      </c>
      <c r="BM74">
        <v>0.69593542329380387</v>
      </c>
      <c r="BN74">
        <v>0.73735115814265317</v>
      </c>
      <c r="BO74">
        <v>0.76600398251211321</v>
      </c>
      <c r="BP74">
        <v>0.78037206610404453</v>
      </c>
      <c r="BQ74">
        <v>0.78940004737772884</v>
      </c>
      <c r="BR74">
        <v>0.78927583460749728</v>
      </c>
      <c r="BS74">
        <v>0.79606775495314064</v>
      </c>
      <c r="BT74">
        <v>0.82627621301209364</v>
      </c>
      <c r="BU74">
        <v>0.89178336539882586</v>
      </c>
      <c r="BV74">
        <v>0.9843146414748406</v>
      </c>
      <c r="BW74">
        <v>1.1310801724224713</v>
      </c>
      <c r="BX74">
        <v>1.352805316604073</v>
      </c>
    </row>
    <row r="75" spans="1:76">
      <c r="A75" t="s">
        <v>219</v>
      </c>
      <c r="B75">
        <v>2008</v>
      </c>
      <c r="C75">
        <v>12</v>
      </c>
      <c r="D75">
        <v>9</v>
      </c>
      <c r="E75">
        <v>11.75</v>
      </c>
      <c r="F75">
        <v>3</v>
      </c>
      <c r="G75">
        <v>0.39476600000000001</v>
      </c>
      <c r="H75">
        <v>2.5073985442073985</v>
      </c>
      <c r="I75">
        <v>1.4</v>
      </c>
      <c r="J75">
        <v>0.52382743643918961</v>
      </c>
      <c r="K75">
        <v>3.2607596870967743</v>
      </c>
      <c r="L75">
        <v>1.7080753877361574</v>
      </c>
      <c r="M75">
        <v>1.5267245086638441</v>
      </c>
      <c r="N75">
        <v>1.4223548534420249</v>
      </c>
      <c r="O75">
        <v>1.3264567264806102</v>
      </c>
      <c r="P75">
        <v>1.2424681141223941</v>
      </c>
      <c r="Q75">
        <v>1.1636663603104189</v>
      </c>
      <c r="R75">
        <v>1.0910059572141173</v>
      </c>
      <c r="S75">
        <v>1.0282022097106138</v>
      </c>
      <c r="T75">
        <v>0.96988373265499805</v>
      </c>
      <c r="U75">
        <v>0.91493528910295063</v>
      </c>
      <c r="V75">
        <v>0.85817909593593866</v>
      </c>
      <c r="W75">
        <v>0.80400570086420786</v>
      </c>
      <c r="X75">
        <v>0.75602194656147081</v>
      </c>
      <c r="Y75">
        <v>0.71347103513327048</v>
      </c>
      <c r="Z75">
        <v>0.67450628737337226</v>
      </c>
      <c r="AA75">
        <v>0.63673836960697305</v>
      </c>
      <c r="AB75">
        <v>0.60063768921007765</v>
      </c>
      <c r="AC75">
        <v>0.56775549386226243</v>
      </c>
      <c r="AD75">
        <v>0.53836161478889188</v>
      </c>
      <c r="AE75">
        <v>0.51148292790919081</v>
      </c>
      <c r="AF75">
        <v>0.48746549504313602</v>
      </c>
      <c r="AG75">
        <v>0.46678643788156748</v>
      </c>
      <c r="AH75">
        <v>0.4490108165648668</v>
      </c>
      <c r="AI75">
        <v>0.43453559420969778</v>
      </c>
      <c r="AJ75">
        <v>0.4211404278111498</v>
      </c>
      <c r="AK75">
        <v>0.4027733209553952</v>
      </c>
      <c r="AL75">
        <v>0.38552563139484208</v>
      </c>
      <c r="AM75">
        <v>0.37118091359982425</v>
      </c>
      <c r="AN75">
        <v>0.35803586522592157</v>
      </c>
      <c r="AO75">
        <v>0.34672894214269329</v>
      </c>
      <c r="AP75">
        <v>0.33789467930065931</v>
      </c>
      <c r="AQ75">
        <v>0.33079927001099102</v>
      </c>
      <c r="AR75">
        <v>0.32364436372214261</v>
      </c>
      <c r="AS75">
        <v>0.3130163065245925</v>
      </c>
      <c r="AT75">
        <v>0.30628967731659068</v>
      </c>
      <c r="AU75">
        <v>0.30371166783145737</v>
      </c>
      <c r="AV75">
        <v>0.3059438824700042</v>
      </c>
      <c r="AW75">
        <v>0.31629674071564429</v>
      </c>
      <c r="AX75">
        <v>0.3377423811900217</v>
      </c>
      <c r="AY75">
        <v>0.3647981311644547</v>
      </c>
      <c r="AZ75">
        <v>0.40040277654946466</v>
      </c>
      <c r="BA75">
        <v>0.46497728560718787</v>
      </c>
      <c r="BB75">
        <v>0.50268073473393782</v>
      </c>
      <c r="BC75">
        <v>0.51118092816738214</v>
      </c>
      <c r="BD75">
        <v>0.51322476519346849</v>
      </c>
      <c r="BE75">
        <v>0.52043260665640556</v>
      </c>
      <c r="BF75">
        <v>0.52674542749990039</v>
      </c>
      <c r="BG75">
        <v>0.53351935313892129</v>
      </c>
      <c r="BH75">
        <v>0.54244956436108571</v>
      </c>
      <c r="BI75">
        <v>0.55025827364489155</v>
      </c>
      <c r="BJ75">
        <v>0.56467607998276126</v>
      </c>
      <c r="BK75">
        <v>0.58161207671203263</v>
      </c>
      <c r="BL75">
        <v>0.62181353793499228</v>
      </c>
      <c r="BM75">
        <v>0.67949537761646384</v>
      </c>
      <c r="BN75">
        <v>0.71681593802322852</v>
      </c>
      <c r="BO75">
        <v>0.74166920519702928</v>
      </c>
      <c r="BP75">
        <v>0.75491448796578953</v>
      </c>
      <c r="BQ75">
        <v>0.76600946918015089</v>
      </c>
      <c r="BR75">
        <v>0.77091313282741525</v>
      </c>
      <c r="BS75">
        <v>0.78364127830999752</v>
      </c>
      <c r="BT75">
        <v>0.81831084074321203</v>
      </c>
      <c r="BU75">
        <v>0.88667809195214808</v>
      </c>
      <c r="BV75">
        <v>0.9803613364595759</v>
      </c>
      <c r="BW75">
        <v>1.128211514795568</v>
      </c>
      <c r="BX75">
        <v>1.350296770254698</v>
      </c>
    </row>
    <row r="76" spans="1:76">
      <c r="A76" t="s">
        <v>220</v>
      </c>
      <c r="B76">
        <v>2008</v>
      </c>
      <c r="C76">
        <v>12</v>
      </c>
      <c r="D76">
        <v>9</v>
      </c>
      <c r="E76">
        <v>12.149999999999999</v>
      </c>
      <c r="F76">
        <v>3</v>
      </c>
      <c r="G76">
        <v>0.41214299999999998</v>
      </c>
      <c r="H76">
        <v>3.1025404884197179</v>
      </c>
      <c r="I76">
        <v>1</v>
      </c>
      <c r="J76">
        <v>0.49081650119268239</v>
      </c>
      <c r="K76">
        <v>4.4739219725036063</v>
      </c>
      <c r="L76">
        <v>2.1958747291532843</v>
      </c>
      <c r="M76">
        <v>1.4988699138848329</v>
      </c>
      <c r="N76">
        <v>1.3930785303038122</v>
      </c>
      <c r="O76">
        <v>1.2958025333427163</v>
      </c>
      <c r="P76">
        <v>1.2112234548888996</v>
      </c>
      <c r="Q76">
        <v>1.1316110844399236</v>
      </c>
      <c r="R76">
        <v>1.0581947581003233</v>
      </c>
      <c r="S76">
        <v>0.99543469037507371</v>
      </c>
      <c r="T76">
        <v>0.93710465487781303</v>
      </c>
      <c r="U76">
        <v>0.88186838399487377</v>
      </c>
      <c r="V76">
        <v>0.82385214059274459</v>
      </c>
      <c r="W76">
        <v>0.76816578597141416</v>
      </c>
      <c r="X76">
        <v>0.71943209140893627</v>
      </c>
      <c r="Y76">
        <v>0.67659737378319051</v>
      </c>
      <c r="Z76">
        <v>0.6374806362451737</v>
      </c>
      <c r="AA76">
        <v>0.59934451714673431</v>
      </c>
      <c r="AB76">
        <v>0.5627277849651966</v>
      </c>
      <c r="AC76">
        <v>0.52943857131031735</v>
      </c>
      <c r="AD76">
        <v>0.49999845332695197</v>
      </c>
      <c r="AE76">
        <v>0.47311712218107682</v>
      </c>
      <c r="AF76">
        <v>0.44911130744702055</v>
      </c>
      <c r="AG76">
        <v>0.42857832070558982</v>
      </c>
      <c r="AH76">
        <v>0.41076673769134237</v>
      </c>
      <c r="AI76">
        <v>0.39620317909036246</v>
      </c>
      <c r="AJ76">
        <v>0.38264126116924613</v>
      </c>
      <c r="AK76">
        <v>0.36443700703150306</v>
      </c>
      <c r="AL76">
        <v>0.34749043760561188</v>
      </c>
      <c r="AM76">
        <v>0.33354985965721817</v>
      </c>
      <c r="AN76">
        <v>0.32082362131419889</v>
      </c>
      <c r="AO76">
        <v>0.30999488995907459</v>
      </c>
      <c r="AP76">
        <v>0.30156415027119193</v>
      </c>
      <c r="AQ76">
        <v>0.2946372624216963</v>
      </c>
      <c r="AR76">
        <v>0.28802420697167708</v>
      </c>
      <c r="AS76">
        <v>0.27754143835610834</v>
      </c>
      <c r="AT76">
        <v>0.27141094986648068</v>
      </c>
      <c r="AU76">
        <v>0.26925680554060927</v>
      </c>
      <c r="AV76">
        <v>0.27197107281523197</v>
      </c>
      <c r="AW76">
        <v>0.28285292255073902</v>
      </c>
      <c r="AX76">
        <v>0.30467273671399991</v>
      </c>
      <c r="AY76">
        <v>0.3319984970797048</v>
      </c>
      <c r="AZ76">
        <v>0.36780330757569024</v>
      </c>
      <c r="BA76">
        <v>0.43245723327995389</v>
      </c>
      <c r="BB76">
        <v>0.47078309818722641</v>
      </c>
      <c r="BC76">
        <v>0.48034563154818755</v>
      </c>
      <c r="BD76">
        <v>0.48347883435837935</v>
      </c>
      <c r="BE76">
        <v>0.49168252973324977</v>
      </c>
      <c r="BF76">
        <v>0.49877903935238377</v>
      </c>
      <c r="BG76">
        <v>0.50632237547964798</v>
      </c>
      <c r="BH76">
        <v>0.51605699919818782</v>
      </c>
      <c r="BI76">
        <v>0.52446932223755716</v>
      </c>
      <c r="BJ76">
        <v>0.53957761669097926</v>
      </c>
      <c r="BK76">
        <v>0.55743343153791447</v>
      </c>
      <c r="BL76">
        <v>0.59908126608582402</v>
      </c>
      <c r="BM76">
        <v>0.65943022741625379</v>
      </c>
      <c r="BN76">
        <v>0.70015193667229447</v>
      </c>
      <c r="BO76">
        <v>0.72819960934908501</v>
      </c>
      <c r="BP76">
        <v>0.74295905085956815</v>
      </c>
      <c r="BQ76">
        <v>0.75358057042257731</v>
      </c>
      <c r="BR76">
        <v>0.7561608688647814</v>
      </c>
      <c r="BS76">
        <v>0.76600118190042354</v>
      </c>
      <c r="BT76">
        <v>0.79870982556647729</v>
      </c>
      <c r="BU76">
        <v>0.86613899365874325</v>
      </c>
      <c r="BV76">
        <v>0.9599667107926908</v>
      </c>
      <c r="BW76">
        <v>1.1080682381088833</v>
      </c>
      <c r="BX76">
        <v>1.3309449260629191</v>
      </c>
    </row>
    <row r="77" spans="1:76">
      <c r="A77" t="s">
        <v>221</v>
      </c>
      <c r="B77">
        <v>2008</v>
      </c>
      <c r="C77">
        <v>12</v>
      </c>
      <c r="D77">
        <v>9</v>
      </c>
      <c r="E77">
        <v>12.333333333333336</v>
      </c>
      <c r="F77">
        <v>3</v>
      </c>
      <c r="G77">
        <v>0.45927499999999999</v>
      </c>
      <c r="H77">
        <v>2.2341021850331719</v>
      </c>
      <c r="I77">
        <v>1.1000000000000001</v>
      </c>
      <c r="J77">
        <v>0.50133017046470962</v>
      </c>
      <c r="K77">
        <v>4.0982398986434587</v>
      </c>
      <c r="L77">
        <v>2.0545713069921994</v>
      </c>
      <c r="M77">
        <v>1.6271533165361414</v>
      </c>
      <c r="N77">
        <v>1.5078937035591282</v>
      </c>
      <c r="O77">
        <v>1.3986704253009352</v>
      </c>
      <c r="P77">
        <v>1.3024281887124129</v>
      </c>
      <c r="Q77">
        <v>1.2127741800339196</v>
      </c>
      <c r="R77">
        <v>1.1304135770293597</v>
      </c>
      <c r="S77">
        <v>1.0586066472767388</v>
      </c>
      <c r="T77">
        <v>0.99227745057069894</v>
      </c>
      <c r="U77">
        <v>0.93032523923336174</v>
      </c>
      <c r="V77">
        <v>0.86781411454540469</v>
      </c>
      <c r="W77">
        <v>0.80873246021809653</v>
      </c>
      <c r="X77">
        <v>0.75613977583639114</v>
      </c>
      <c r="Y77">
        <v>0.70935807943128726</v>
      </c>
      <c r="Z77">
        <v>0.66664269354022221</v>
      </c>
      <c r="AA77">
        <v>0.62572306892596719</v>
      </c>
      <c r="AB77">
        <v>0.58699527866579937</v>
      </c>
      <c r="AC77">
        <v>0.55184206454815765</v>
      </c>
      <c r="AD77">
        <v>0.52036752221429694</v>
      </c>
      <c r="AE77">
        <v>0.49171610370387503</v>
      </c>
      <c r="AF77">
        <v>0.46620975314681512</v>
      </c>
      <c r="AG77">
        <v>0.44422550369090197</v>
      </c>
      <c r="AH77">
        <v>0.42544900304615896</v>
      </c>
      <c r="AI77">
        <v>0.41017921884438679</v>
      </c>
      <c r="AJ77">
        <v>0.39621018225994198</v>
      </c>
      <c r="AK77">
        <v>0.37735949455064632</v>
      </c>
      <c r="AL77">
        <v>0.35971826511108734</v>
      </c>
      <c r="AM77">
        <v>0.34503559220461011</v>
      </c>
      <c r="AN77">
        <v>0.33166139481107015</v>
      </c>
      <c r="AO77">
        <v>0.3201811688623783</v>
      </c>
      <c r="AP77">
        <v>0.31126193676078917</v>
      </c>
      <c r="AQ77">
        <v>0.30425029945030652</v>
      </c>
      <c r="AR77">
        <v>0.29708315530059315</v>
      </c>
      <c r="AS77">
        <v>0.28679196821757669</v>
      </c>
      <c r="AT77">
        <v>0.28015867974777375</v>
      </c>
      <c r="AU77">
        <v>0.27771405458843801</v>
      </c>
      <c r="AV77">
        <v>0.27998897718530091</v>
      </c>
      <c r="AW77">
        <v>0.2902407033886088</v>
      </c>
      <c r="AX77">
        <v>0.31154321410684926</v>
      </c>
      <c r="AY77">
        <v>0.33856649504495911</v>
      </c>
      <c r="AZ77">
        <v>0.37424797808233179</v>
      </c>
      <c r="BA77">
        <v>0.43901675054008971</v>
      </c>
      <c r="BB77">
        <v>0.47695472258495986</v>
      </c>
      <c r="BC77">
        <v>0.48556970570010721</v>
      </c>
      <c r="BD77">
        <v>0.48774112226568322</v>
      </c>
      <c r="BE77">
        <v>0.49513880382319264</v>
      </c>
      <c r="BF77">
        <v>0.50176206900730536</v>
      </c>
      <c r="BG77">
        <v>0.50886920017192971</v>
      </c>
      <c r="BH77">
        <v>0.51813159129395447</v>
      </c>
      <c r="BI77">
        <v>0.5263818549864947</v>
      </c>
      <c r="BJ77">
        <v>0.54122006970567771</v>
      </c>
      <c r="BK77">
        <v>0.5584838602513017</v>
      </c>
      <c r="BL77">
        <v>0.59882678758750807</v>
      </c>
      <c r="BM77">
        <v>0.65613874480046086</v>
      </c>
      <c r="BN77">
        <v>0.69269740827161785</v>
      </c>
      <c r="BO77">
        <v>0.71685874716680598</v>
      </c>
      <c r="BP77">
        <v>0.73019143044693768</v>
      </c>
      <c r="BQ77">
        <v>0.74233102522153482</v>
      </c>
      <c r="BR77">
        <v>0.74915461333957356</v>
      </c>
      <c r="BS77">
        <v>0.76410519430283697</v>
      </c>
      <c r="BT77">
        <v>0.80062977269254154</v>
      </c>
      <c r="BU77">
        <v>0.87048452613283867</v>
      </c>
      <c r="BV77">
        <v>0.96523189849970636</v>
      </c>
      <c r="BW77">
        <v>1.1143020823422491</v>
      </c>
      <c r="BX77">
        <v>1.3376286509062607</v>
      </c>
    </row>
    <row r="78" spans="1:76">
      <c r="A78" t="s">
        <v>222</v>
      </c>
      <c r="B78">
        <v>2008</v>
      </c>
      <c r="C78">
        <v>12</v>
      </c>
      <c r="D78">
        <v>9</v>
      </c>
      <c r="E78">
        <v>12.5</v>
      </c>
      <c r="F78">
        <v>3</v>
      </c>
      <c r="G78">
        <v>0.39595599999999997</v>
      </c>
      <c r="H78">
        <v>2.5471333249178501</v>
      </c>
      <c r="I78">
        <v>1.1000000000000001</v>
      </c>
      <c r="J78">
        <v>0.49180788973452499</v>
      </c>
      <c r="K78">
        <v>4.1071068018089152</v>
      </c>
      <c r="L78">
        <v>2.0199075291119564</v>
      </c>
      <c r="M78">
        <v>1.4671421537075617</v>
      </c>
      <c r="N78">
        <v>1.3637985498016607</v>
      </c>
      <c r="O78">
        <v>1.268912162636874</v>
      </c>
      <c r="P78">
        <v>1.1859909505627662</v>
      </c>
      <c r="Q78">
        <v>1.1082135585067141</v>
      </c>
      <c r="R78">
        <v>1.0365600190175501</v>
      </c>
      <c r="S78">
        <v>0.97481789212648284</v>
      </c>
      <c r="T78">
        <v>0.91753345103755035</v>
      </c>
      <c r="U78">
        <v>0.86357331517527192</v>
      </c>
      <c r="V78">
        <v>0.80768846475860712</v>
      </c>
      <c r="W78">
        <v>0.7543440939203736</v>
      </c>
      <c r="X78">
        <v>0.70723714930806991</v>
      </c>
      <c r="Y78">
        <v>0.66558930017967777</v>
      </c>
      <c r="Z78">
        <v>0.62752478794424171</v>
      </c>
      <c r="AA78">
        <v>0.59062267695673476</v>
      </c>
      <c r="AB78">
        <v>0.55536316794706142</v>
      </c>
      <c r="AC78">
        <v>0.52332493667974833</v>
      </c>
      <c r="AD78">
        <v>0.49479758222588888</v>
      </c>
      <c r="AE78">
        <v>0.46878358931473962</v>
      </c>
      <c r="AF78">
        <v>0.44562751214770135</v>
      </c>
      <c r="AG78">
        <v>0.42581485896698962</v>
      </c>
      <c r="AH78">
        <v>0.40888583923691646</v>
      </c>
      <c r="AI78">
        <v>0.39524281960838892</v>
      </c>
      <c r="AJ78">
        <v>0.38266015685741117</v>
      </c>
      <c r="AK78">
        <v>0.36512187367055371</v>
      </c>
      <c r="AL78">
        <v>0.34870703019270816</v>
      </c>
      <c r="AM78">
        <v>0.33519021117811831</v>
      </c>
      <c r="AN78">
        <v>0.32286268720984346</v>
      </c>
      <c r="AO78">
        <v>0.31236157796231345</v>
      </c>
      <c r="AP78">
        <v>0.30430541917722359</v>
      </c>
      <c r="AQ78">
        <v>0.29794939508871993</v>
      </c>
      <c r="AR78">
        <v>0.29154715786364926</v>
      </c>
      <c r="AS78">
        <v>0.28165729325459754</v>
      </c>
      <c r="AT78">
        <v>0.27566183633268471</v>
      </c>
      <c r="AU78">
        <v>0.27375696270289496</v>
      </c>
      <c r="AV78">
        <v>0.27661392456390976</v>
      </c>
      <c r="AW78">
        <v>0.28752450786420064</v>
      </c>
      <c r="AX78">
        <v>0.30945636552659206</v>
      </c>
      <c r="AY78">
        <v>0.33700070147233446</v>
      </c>
      <c r="AZ78">
        <v>0.37311860173396905</v>
      </c>
      <c r="BA78">
        <v>0.43828188419971276</v>
      </c>
      <c r="BB78">
        <v>0.47666103649971392</v>
      </c>
      <c r="BC78">
        <v>0.48581026187791676</v>
      </c>
      <c r="BD78">
        <v>0.48848209916260366</v>
      </c>
      <c r="BE78">
        <v>0.49631880495032615</v>
      </c>
      <c r="BF78">
        <v>0.50323789208503344</v>
      </c>
      <c r="BG78">
        <v>0.51061328907662962</v>
      </c>
      <c r="BH78">
        <v>0.52014958751250884</v>
      </c>
      <c r="BI78">
        <v>0.52854275311301391</v>
      </c>
      <c r="BJ78">
        <v>0.54357007717195949</v>
      </c>
      <c r="BK78">
        <v>0.56113897359477649</v>
      </c>
      <c r="BL78">
        <v>0.60210287427374243</v>
      </c>
      <c r="BM78">
        <v>0.66071447939747951</v>
      </c>
      <c r="BN78">
        <v>0.69893175338858016</v>
      </c>
      <c r="BO78">
        <v>0.7246106718424199</v>
      </c>
      <c r="BP78">
        <v>0.73851051610370466</v>
      </c>
      <c r="BQ78">
        <v>0.75010989290177377</v>
      </c>
      <c r="BR78">
        <v>0.75535809788686925</v>
      </c>
      <c r="BS78">
        <v>0.76842527318796949</v>
      </c>
      <c r="BT78">
        <v>0.8035981621890208</v>
      </c>
      <c r="BU78">
        <v>0.87269746623087308</v>
      </c>
      <c r="BV78">
        <v>0.96730822636880742</v>
      </c>
      <c r="BW78">
        <v>1.1163521654151369</v>
      </c>
      <c r="BX78">
        <v>1.34002341105061</v>
      </c>
    </row>
    <row r="79" spans="1:76">
      <c r="A79" t="s">
        <v>223</v>
      </c>
      <c r="B79">
        <v>2008</v>
      </c>
      <c r="C79">
        <v>12</v>
      </c>
      <c r="D79">
        <v>9</v>
      </c>
      <c r="E79">
        <v>12.7</v>
      </c>
      <c r="F79">
        <v>3</v>
      </c>
      <c r="G79">
        <v>0.36522100000000002</v>
      </c>
      <c r="H79">
        <v>2.0989195954371889</v>
      </c>
      <c r="I79">
        <v>1.4</v>
      </c>
      <c r="J79">
        <v>0.51315627787311546</v>
      </c>
      <c r="K79">
        <v>3.2628575867269278</v>
      </c>
      <c r="L79">
        <v>1.6743558544348462</v>
      </c>
      <c r="M79">
        <v>1.444072965389984</v>
      </c>
      <c r="N79">
        <v>1.3457918400967119</v>
      </c>
      <c r="O79">
        <v>1.2555758731321696</v>
      </c>
      <c r="P79">
        <v>1.1763858787127184</v>
      </c>
      <c r="Q79">
        <v>1.1022131186402002</v>
      </c>
      <c r="R79">
        <v>1.0338496592468052</v>
      </c>
      <c r="S79">
        <v>0.97452822766354152</v>
      </c>
      <c r="T79">
        <v>0.91948209291907246</v>
      </c>
      <c r="U79">
        <v>0.86777207519123789</v>
      </c>
      <c r="V79">
        <v>0.81470292431274327</v>
      </c>
      <c r="W79">
        <v>0.7642006047807729</v>
      </c>
      <c r="X79">
        <v>0.71918028254315258</v>
      </c>
      <c r="Y79">
        <v>0.67911457202193948</v>
      </c>
      <c r="Z79">
        <v>0.6424020829449002</v>
      </c>
      <c r="AA79">
        <v>0.6069026231013227</v>
      </c>
      <c r="AB79">
        <v>0.57305559593578437</v>
      </c>
      <c r="AC79">
        <v>0.54225447457517073</v>
      </c>
      <c r="AD79">
        <v>0.51459835748844096</v>
      </c>
      <c r="AE79">
        <v>0.48935028747661641</v>
      </c>
      <c r="AF79">
        <v>0.4668895062962235</v>
      </c>
      <c r="AG79">
        <v>0.44761645342537076</v>
      </c>
      <c r="AH79">
        <v>0.43133413054081027</v>
      </c>
      <c r="AI79">
        <v>0.41834702198198948</v>
      </c>
      <c r="AJ79">
        <v>0.40643948696362897</v>
      </c>
      <c r="AK79">
        <v>0.38922916300707799</v>
      </c>
      <c r="AL79">
        <v>0.37299556552750024</v>
      </c>
      <c r="AM79">
        <v>0.35955654778347612</v>
      </c>
      <c r="AN79">
        <v>0.34726693015454885</v>
      </c>
      <c r="AO79">
        <v>0.33673431275267962</v>
      </c>
      <c r="AP79">
        <v>0.32869338235402495</v>
      </c>
      <c r="AQ79">
        <v>0.32252738212048249</v>
      </c>
      <c r="AR79">
        <v>0.31598157307474323</v>
      </c>
      <c r="AS79">
        <v>0.30623483211306984</v>
      </c>
      <c r="AT79">
        <v>0.30000926744612938</v>
      </c>
      <c r="AU79">
        <v>0.29801374420542892</v>
      </c>
      <c r="AV79">
        <v>0.30073194986290985</v>
      </c>
      <c r="AW79">
        <v>0.3114778631645535</v>
      </c>
      <c r="AX79">
        <v>0.33339617420696677</v>
      </c>
      <c r="AY79">
        <v>0.36101575698828686</v>
      </c>
      <c r="AZ79">
        <v>0.39728263843721728</v>
      </c>
      <c r="BA79">
        <v>0.4627913241155307</v>
      </c>
      <c r="BB79">
        <v>0.50096113071349424</v>
      </c>
      <c r="BC79">
        <v>0.50942292827176305</v>
      </c>
      <c r="BD79">
        <v>0.51135200245767831</v>
      </c>
      <c r="BE79">
        <v>0.51853407424755238</v>
      </c>
      <c r="BF79">
        <v>0.52495880161387154</v>
      </c>
      <c r="BG79">
        <v>0.53184693450972642</v>
      </c>
      <c r="BH79">
        <v>0.54087073021173948</v>
      </c>
      <c r="BI79">
        <v>0.54890315585686711</v>
      </c>
      <c r="BJ79">
        <v>0.56352095241423872</v>
      </c>
      <c r="BK79">
        <v>0.58050202891842495</v>
      </c>
      <c r="BL79">
        <v>0.62054510563293996</v>
      </c>
      <c r="BM79">
        <v>0.67732388904029284</v>
      </c>
      <c r="BN79">
        <v>0.71303581778558356</v>
      </c>
      <c r="BO79">
        <v>0.73632301661891186</v>
      </c>
      <c r="BP79">
        <v>0.74912955012578952</v>
      </c>
      <c r="BQ79">
        <v>0.76121769401317008</v>
      </c>
      <c r="BR79">
        <v>0.76840978248590297</v>
      </c>
      <c r="BS79">
        <v>0.78390215231305904</v>
      </c>
      <c r="BT79">
        <v>0.82084266925050364</v>
      </c>
      <c r="BU79">
        <v>0.89102229992552173</v>
      </c>
      <c r="BV79">
        <v>0.98594539180869212</v>
      </c>
      <c r="BW79">
        <v>1.1354305115499292</v>
      </c>
      <c r="BX79">
        <v>1.3594047746166358</v>
      </c>
    </row>
    <row r="80" spans="1:76">
      <c r="A80" t="s">
        <v>224</v>
      </c>
      <c r="B80">
        <v>2008</v>
      </c>
      <c r="C80">
        <v>12</v>
      </c>
      <c r="D80">
        <v>9</v>
      </c>
      <c r="E80">
        <v>13.066666666666666</v>
      </c>
      <c r="F80">
        <v>3</v>
      </c>
      <c r="G80">
        <v>0.41955500000000001</v>
      </c>
      <c r="H80">
        <v>2.2106290429126672</v>
      </c>
      <c r="I80">
        <v>1.2</v>
      </c>
      <c r="J80">
        <v>0.50717460923887681</v>
      </c>
      <c r="K80">
        <v>3.7777379815533165</v>
      </c>
      <c r="L80">
        <v>1.9159727846011665</v>
      </c>
      <c r="M80">
        <v>1.5576886663139797</v>
      </c>
      <c r="N80">
        <v>1.4464621252103598</v>
      </c>
      <c r="O80">
        <v>1.3445042357755692</v>
      </c>
      <c r="P80">
        <v>1.2548409238825544</v>
      </c>
      <c r="Q80">
        <v>1.1711248596686636</v>
      </c>
      <c r="R80">
        <v>1.0941226322267454</v>
      </c>
      <c r="S80">
        <v>1.0271613694155679</v>
      </c>
      <c r="T80">
        <v>0.96519882411512115</v>
      </c>
      <c r="U80">
        <v>0.9071806227049628</v>
      </c>
      <c r="V80">
        <v>0.84818490452767537</v>
      </c>
      <c r="W80">
        <v>0.79225746284165388</v>
      </c>
      <c r="X80">
        <v>0.74248782862145024</v>
      </c>
      <c r="Y80">
        <v>0.69823799595193869</v>
      </c>
      <c r="Z80">
        <v>0.65778839185106597</v>
      </c>
      <c r="AA80">
        <v>0.61888282931402672</v>
      </c>
      <c r="AB80">
        <v>0.58194316088771147</v>
      </c>
      <c r="AC80">
        <v>0.5483859340154047</v>
      </c>
      <c r="AD80">
        <v>0.5183300464939623</v>
      </c>
      <c r="AE80">
        <v>0.49094330579246948</v>
      </c>
      <c r="AF80">
        <v>0.46657212828315986</v>
      </c>
      <c r="AG80">
        <v>0.4456153022582654</v>
      </c>
      <c r="AH80">
        <v>0.42778657942791631</v>
      </c>
      <c r="AI80">
        <v>0.41339737876427901</v>
      </c>
      <c r="AJ80">
        <v>0.40021712852054425</v>
      </c>
      <c r="AK80">
        <v>0.38195452081071402</v>
      </c>
      <c r="AL80">
        <v>0.36481937986299173</v>
      </c>
      <c r="AM80">
        <v>0.35060239072978699</v>
      </c>
      <c r="AN80">
        <v>0.33763554953686481</v>
      </c>
      <c r="AO80">
        <v>0.32652246951756031</v>
      </c>
      <c r="AP80">
        <v>0.31795669278046351</v>
      </c>
      <c r="AQ80">
        <v>0.31128391157445645</v>
      </c>
      <c r="AR80">
        <v>0.3043814125791573</v>
      </c>
      <c r="AS80">
        <v>0.294269585683888</v>
      </c>
      <c r="AT80">
        <v>0.28781626525943016</v>
      </c>
      <c r="AU80">
        <v>0.28559190500643933</v>
      </c>
      <c r="AV80">
        <v>0.28812715600679906</v>
      </c>
      <c r="AW80">
        <v>0.2987307223009637</v>
      </c>
      <c r="AX80">
        <v>0.3205216524575803</v>
      </c>
      <c r="AY80">
        <v>0.34807048461707202</v>
      </c>
      <c r="AZ80">
        <v>0.38434776854311203</v>
      </c>
      <c r="BA80">
        <v>0.45003416361906629</v>
      </c>
      <c r="BB80">
        <v>0.48847330978585041</v>
      </c>
      <c r="BC80">
        <v>0.49718986191934844</v>
      </c>
      <c r="BD80">
        <v>0.49936814250904715</v>
      </c>
      <c r="BE80">
        <v>0.50682505675480438</v>
      </c>
      <c r="BF80">
        <v>0.51349430747147085</v>
      </c>
      <c r="BG80">
        <v>0.52064198503565517</v>
      </c>
      <c r="BH80">
        <v>0.52995811146273819</v>
      </c>
      <c r="BI80">
        <v>0.53824909783748176</v>
      </c>
      <c r="BJ80">
        <v>0.55319108540583994</v>
      </c>
      <c r="BK80">
        <v>0.57056848606482291</v>
      </c>
      <c r="BL80">
        <v>0.61126266305585808</v>
      </c>
      <c r="BM80">
        <v>0.66905781343424853</v>
      </c>
      <c r="BN80">
        <v>0.70582090144793186</v>
      </c>
      <c r="BO80">
        <v>0.73004893848346164</v>
      </c>
      <c r="BP80">
        <v>0.74339393293325395</v>
      </c>
      <c r="BQ80">
        <v>0.75561331323368952</v>
      </c>
      <c r="BR80">
        <v>0.76253079760789566</v>
      </c>
      <c r="BS80">
        <v>0.7776882125232828</v>
      </c>
      <c r="BT80">
        <v>0.81462099542975941</v>
      </c>
      <c r="BU80">
        <v>0.88521374027571464</v>
      </c>
      <c r="BV80">
        <v>0.98093077440530385</v>
      </c>
      <c r="BW80">
        <v>1.1315762319209022</v>
      </c>
      <c r="BX80">
        <v>1.3572902557397717</v>
      </c>
    </row>
    <row r="81" spans="1:76">
      <c r="A81" t="s">
        <v>225</v>
      </c>
      <c r="B81">
        <v>2008</v>
      </c>
      <c r="C81">
        <v>12</v>
      </c>
      <c r="D81">
        <v>9</v>
      </c>
      <c r="E81">
        <v>13.633333333333333</v>
      </c>
      <c r="F81">
        <v>3</v>
      </c>
      <c r="G81">
        <v>0.46083800000000003</v>
      </c>
      <c r="H81">
        <v>3.4475346155693636</v>
      </c>
      <c r="I81">
        <v>1.9</v>
      </c>
      <c r="J81">
        <v>0.61878755186089507</v>
      </c>
      <c r="K81">
        <v>2.3997379626516273</v>
      </c>
      <c r="L81">
        <v>1.4849279790168526</v>
      </c>
      <c r="M81">
        <v>1.8942571621410251</v>
      </c>
      <c r="N81">
        <v>1.7682669574280927</v>
      </c>
      <c r="O81">
        <v>1.6521900961725891</v>
      </c>
      <c r="P81">
        <v>1.5506406592083088</v>
      </c>
      <c r="Q81">
        <v>1.4550345615107581</v>
      </c>
      <c r="R81">
        <v>1.3667073586519725</v>
      </c>
      <c r="S81">
        <v>1.2905870348840356</v>
      </c>
      <c r="T81">
        <v>1.2197362358762496</v>
      </c>
      <c r="U81">
        <v>1.1525983799973094</v>
      </c>
      <c r="V81">
        <v>1.0826946394371988</v>
      </c>
      <c r="W81">
        <v>1.0156281103913805</v>
      </c>
      <c r="X81">
        <v>0.95666670882592197</v>
      </c>
      <c r="Y81">
        <v>0.90451519887826293</v>
      </c>
      <c r="Z81">
        <v>0.85670506757651377</v>
      </c>
      <c r="AA81">
        <v>0.81019259651467002</v>
      </c>
      <c r="AB81">
        <v>0.76552821274595217</v>
      </c>
      <c r="AC81">
        <v>0.72467756116545656</v>
      </c>
      <c r="AD81">
        <v>0.68828561768745411</v>
      </c>
      <c r="AE81">
        <v>0.65482009504962657</v>
      </c>
      <c r="AF81">
        <v>0.62456320237528284</v>
      </c>
      <c r="AG81">
        <v>0.59818063946322986</v>
      </c>
      <c r="AH81">
        <v>0.57470906338353667</v>
      </c>
      <c r="AI81">
        <v>0.5547549388382168</v>
      </c>
      <c r="AJ81">
        <v>0.53597169309503312</v>
      </c>
      <c r="AK81">
        <v>0.51271626332469289</v>
      </c>
      <c r="AL81">
        <v>0.49097067959999308</v>
      </c>
      <c r="AM81">
        <v>0.47253395295419398</v>
      </c>
      <c r="AN81">
        <v>0.45548762080654887</v>
      </c>
      <c r="AO81">
        <v>0.44057443872445712</v>
      </c>
      <c r="AP81">
        <v>0.42825415023664015</v>
      </c>
      <c r="AQ81">
        <v>0.41749883597432663</v>
      </c>
      <c r="AR81">
        <v>0.407393026163965</v>
      </c>
      <c r="AS81">
        <v>0.39305436585234954</v>
      </c>
      <c r="AT81">
        <v>0.38367972938509576</v>
      </c>
      <c r="AU81">
        <v>0.37853928129214137</v>
      </c>
      <c r="AV81">
        <v>0.37872378068257051</v>
      </c>
      <c r="AW81">
        <v>0.38772372467982558</v>
      </c>
      <c r="AX81">
        <v>0.40827877543599206</v>
      </c>
      <c r="AY81">
        <v>0.43453604429787451</v>
      </c>
      <c r="AZ81">
        <v>0.46954254309149673</v>
      </c>
      <c r="BA81">
        <v>0.5343012856532563</v>
      </c>
      <c r="BB81">
        <v>0.5718249533565547</v>
      </c>
      <c r="BC81">
        <v>0.57985715968930485</v>
      </c>
      <c r="BD81">
        <v>0.58130996044360228</v>
      </c>
      <c r="BE81">
        <v>0.58799136696091914</v>
      </c>
      <c r="BF81">
        <v>0.5934491173441917</v>
      </c>
      <c r="BG81">
        <v>0.599397340955938</v>
      </c>
      <c r="BH81">
        <v>0.60765909530305406</v>
      </c>
      <c r="BI81">
        <v>0.61447427398790433</v>
      </c>
      <c r="BJ81">
        <v>0.62826097829655236</v>
      </c>
      <c r="BK81">
        <v>0.64502660620712826</v>
      </c>
      <c r="BL81">
        <v>0.68657860141774751</v>
      </c>
      <c r="BM81">
        <v>0.74801888625122448</v>
      </c>
      <c r="BN81">
        <v>0.78970048838416695</v>
      </c>
      <c r="BO81">
        <v>0.81826496915804159</v>
      </c>
      <c r="BP81">
        <v>0.83225628898545989</v>
      </c>
      <c r="BQ81">
        <v>0.84088960917489652</v>
      </c>
      <c r="BR81">
        <v>0.84023488888484066</v>
      </c>
      <c r="BS81">
        <v>0.84672553588103028</v>
      </c>
      <c r="BT81">
        <v>0.87722065587529163</v>
      </c>
      <c r="BU81">
        <v>0.94392430638415414</v>
      </c>
      <c r="BV81">
        <v>1.0383246562953181</v>
      </c>
      <c r="BW81">
        <v>1.1884537542413942</v>
      </c>
      <c r="BX81">
        <v>1.4155831054737491</v>
      </c>
    </row>
    <row r="82" spans="1:76">
      <c r="A82" t="s">
        <v>216</v>
      </c>
      <c r="B82">
        <v>2008</v>
      </c>
      <c r="C82">
        <v>10</v>
      </c>
      <c r="D82">
        <v>21</v>
      </c>
      <c r="E82">
        <v>10.3</v>
      </c>
      <c r="F82">
        <v>3</v>
      </c>
      <c r="G82">
        <v>0.61128099999999996</v>
      </c>
      <c r="H82">
        <v>6.6221184992606092</v>
      </c>
      <c r="I82">
        <v>2.1</v>
      </c>
      <c r="J82">
        <v>0.68046599068666624</v>
      </c>
      <c r="K82">
        <v>2.1780678758284009</v>
      </c>
      <c r="L82">
        <v>1.4821011149083756</v>
      </c>
      <c r="M82">
        <v>2.3233777653376806</v>
      </c>
      <c r="N82">
        <v>2.1695060805618622</v>
      </c>
      <c r="O82">
        <v>2.0271579129588053</v>
      </c>
      <c r="P82">
        <v>1.9037799673463969</v>
      </c>
      <c r="Q82">
        <v>1.7867131461501637</v>
      </c>
      <c r="R82">
        <v>1.6782874162834507</v>
      </c>
      <c r="S82">
        <v>1.5862760879066737</v>
      </c>
      <c r="T82">
        <v>1.5002799496823511</v>
      </c>
      <c r="U82">
        <v>1.4177548409227272</v>
      </c>
      <c r="V82">
        <v>1.3294565992830982</v>
      </c>
      <c r="W82">
        <v>1.2437111186372356</v>
      </c>
      <c r="X82">
        <v>1.1698517460252833</v>
      </c>
      <c r="Y82">
        <v>1.1052799194539864</v>
      </c>
      <c r="Z82">
        <v>1.0461329406260209</v>
      </c>
      <c r="AA82">
        <v>0.98794685785898428</v>
      </c>
      <c r="AB82">
        <v>0.93148655950098225</v>
      </c>
      <c r="AC82">
        <v>0.8796787090903746</v>
      </c>
      <c r="AD82">
        <v>0.83418197278930073</v>
      </c>
      <c r="AE82">
        <v>0.79212583771522993</v>
      </c>
      <c r="AF82">
        <v>0.75363071392895598</v>
      </c>
      <c r="AG82">
        <v>0.71982566434788053</v>
      </c>
      <c r="AH82">
        <v>0.68841502851538083</v>
      </c>
      <c r="AI82">
        <v>0.66053322670769743</v>
      </c>
      <c r="AJ82">
        <v>0.63377708778410702</v>
      </c>
      <c r="AK82">
        <v>0.60431715500112138</v>
      </c>
      <c r="AL82">
        <v>0.57713617874092837</v>
      </c>
      <c r="AM82">
        <v>0.55384953065750964</v>
      </c>
      <c r="AN82">
        <v>0.53219687524669201</v>
      </c>
      <c r="AO82">
        <v>0.51309695364741992</v>
      </c>
      <c r="AP82">
        <v>0.49644800956639334</v>
      </c>
      <c r="AQ82">
        <v>0.48055117347206061</v>
      </c>
      <c r="AR82">
        <v>0.46705664139115588</v>
      </c>
      <c r="AS82">
        <v>0.44774674268373094</v>
      </c>
      <c r="AT82">
        <v>0.43551067015569195</v>
      </c>
      <c r="AU82">
        <v>0.42699747567979107</v>
      </c>
      <c r="AV82">
        <v>0.42430724678775467</v>
      </c>
      <c r="AW82">
        <v>0.43089990319509108</v>
      </c>
      <c r="AX82">
        <v>0.44849498949126432</v>
      </c>
      <c r="AY82">
        <v>0.47117388850819242</v>
      </c>
      <c r="AZ82">
        <v>0.50191105248157386</v>
      </c>
      <c r="BA82">
        <v>0.56052175037407193</v>
      </c>
      <c r="BB82">
        <v>0.59478178539723481</v>
      </c>
      <c r="BC82">
        <v>0.60273196946361995</v>
      </c>
      <c r="BD82">
        <v>0.60459440479218562</v>
      </c>
      <c r="BE82">
        <v>0.61111006193816797</v>
      </c>
      <c r="BF82">
        <v>0.61559372309231686</v>
      </c>
      <c r="BG82">
        <v>0.62054230488724604</v>
      </c>
      <c r="BH82">
        <v>0.62789912703355444</v>
      </c>
      <c r="BI82">
        <v>0.63304922996075597</v>
      </c>
      <c r="BJ82">
        <v>0.64524572679925052</v>
      </c>
      <c r="BK82">
        <v>0.66130139042824843</v>
      </c>
      <c r="BL82">
        <v>0.70311714678007942</v>
      </c>
      <c r="BM82">
        <v>0.76902081092940255</v>
      </c>
      <c r="BN82">
        <v>0.81948985179786082</v>
      </c>
      <c r="BO82">
        <v>0.85670454407463592</v>
      </c>
      <c r="BP82">
        <v>0.87283631930869776</v>
      </c>
      <c r="BQ82">
        <v>0.8752253804844643</v>
      </c>
      <c r="BR82">
        <v>0.86077988395372751</v>
      </c>
      <c r="BS82">
        <v>0.85060824147402803</v>
      </c>
      <c r="BT82">
        <v>0.86712582546935069</v>
      </c>
      <c r="BU82">
        <v>0.92222434797905062</v>
      </c>
      <c r="BV82">
        <v>1.0081402298618845</v>
      </c>
      <c r="BW82">
        <v>1.1469514956633751</v>
      </c>
      <c r="BX82">
        <v>1.3605680595408609</v>
      </c>
    </row>
    <row r="83" spans="1:76">
      <c r="A83" t="s">
        <v>217</v>
      </c>
      <c r="B83">
        <v>2008</v>
      </c>
      <c r="C83">
        <v>10</v>
      </c>
      <c r="D83">
        <v>21</v>
      </c>
      <c r="E83">
        <v>10.6</v>
      </c>
      <c r="F83">
        <v>3</v>
      </c>
      <c r="G83">
        <v>0.55578899999999998</v>
      </c>
      <c r="H83">
        <v>5.7722982245788259</v>
      </c>
      <c r="I83">
        <v>2.2999999999999998</v>
      </c>
      <c r="J83">
        <v>0.68202383090696628</v>
      </c>
      <c r="K83">
        <v>1.9918640086919783</v>
      </c>
      <c r="L83">
        <v>1.3584987218538098</v>
      </c>
      <c r="M83">
        <v>2.1920945936482452</v>
      </c>
      <c r="N83">
        <v>2.0506366444737774</v>
      </c>
      <c r="O83">
        <v>1.9197534302451931</v>
      </c>
      <c r="P83">
        <v>1.8061132375386941</v>
      </c>
      <c r="Q83">
        <v>1.6982950921052979</v>
      </c>
      <c r="R83">
        <v>1.5983785204279199</v>
      </c>
      <c r="S83">
        <v>1.5133359727549642</v>
      </c>
      <c r="T83">
        <v>1.4338116533468552</v>
      </c>
      <c r="U83">
        <v>1.357564726920276</v>
      </c>
      <c r="V83">
        <v>1.276208209073231</v>
      </c>
      <c r="W83">
        <v>1.1972745532294558</v>
      </c>
      <c r="X83">
        <v>1.1289703171862038</v>
      </c>
      <c r="Y83">
        <v>1.0690684504632371</v>
      </c>
      <c r="Z83">
        <v>1.0141228783481631</v>
      </c>
      <c r="AA83">
        <v>0.96010288516439557</v>
      </c>
      <c r="AB83">
        <v>0.90771855455175965</v>
      </c>
      <c r="AC83">
        <v>0.85961757360819491</v>
      </c>
      <c r="AD83">
        <v>0.81719520504848386</v>
      </c>
      <c r="AE83">
        <v>0.77795787010367434</v>
      </c>
      <c r="AF83">
        <v>0.74206881376083189</v>
      </c>
      <c r="AG83">
        <v>0.710530005767815</v>
      </c>
      <c r="AH83">
        <v>0.68140387942562464</v>
      </c>
      <c r="AI83">
        <v>0.65568727324183662</v>
      </c>
      <c r="AJ83">
        <v>0.63104339592616621</v>
      </c>
      <c r="AK83">
        <v>0.60329315751749801</v>
      </c>
      <c r="AL83">
        <v>0.57756079763164758</v>
      </c>
      <c r="AM83">
        <v>0.5554816805601126</v>
      </c>
      <c r="AN83">
        <v>0.53492158866484441</v>
      </c>
      <c r="AO83">
        <v>0.51674618996106081</v>
      </c>
      <c r="AP83">
        <v>0.5009895623824866</v>
      </c>
      <c r="AQ83">
        <v>0.48614139115250266</v>
      </c>
      <c r="AR83">
        <v>0.47323742487390186</v>
      </c>
      <c r="AS83">
        <v>0.45494847134460581</v>
      </c>
      <c r="AT83">
        <v>0.44313139867456397</v>
      </c>
      <c r="AU83">
        <v>0.43509945229747399</v>
      </c>
      <c r="AV83">
        <v>0.43269633420049275</v>
      </c>
      <c r="AW83">
        <v>0.43934585517439628</v>
      </c>
      <c r="AX83">
        <v>0.45696995766006399</v>
      </c>
      <c r="AY83">
        <v>0.47972509284512016</v>
      </c>
      <c r="AZ83">
        <v>0.51054394575032558</v>
      </c>
      <c r="BA83">
        <v>0.5691581924711766</v>
      </c>
      <c r="BB83">
        <v>0.60311529933322205</v>
      </c>
      <c r="BC83">
        <v>0.61048006770713759</v>
      </c>
      <c r="BD83">
        <v>0.61175101402604903</v>
      </c>
      <c r="BE83">
        <v>0.61772310979703948</v>
      </c>
      <c r="BF83">
        <v>0.62188951869202502</v>
      </c>
      <c r="BG83">
        <v>0.62651711012510702</v>
      </c>
      <c r="BH83">
        <v>0.63348447015520559</v>
      </c>
      <c r="BI83">
        <v>0.63846459894469598</v>
      </c>
      <c r="BJ83">
        <v>0.65034117963387761</v>
      </c>
      <c r="BK83">
        <v>0.66579436618834165</v>
      </c>
      <c r="BL83">
        <v>0.70627442491975911</v>
      </c>
      <c r="BM83">
        <v>0.76937494680887919</v>
      </c>
      <c r="BN83">
        <v>0.81632154995775186</v>
      </c>
      <c r="BO83">
        <v>0.85030416042732804</v>
      </c>
      <c r="BP83">
        <v>0.86514835470164564</v>
      </c>
      <c r="BQ83">
        <v>0.86849377996446242</v>
      </c>
      <c r="BR83">
        <v>0.8571151353071188</v>
      </c>
      <c r="BS83">
        <v>0.85060215401386308</v>
      </c>
      <c r="BT83">
        <v>0.86962026027609218</v>
      </c>
      <c r="BU83">
        <v>0.92589771170333446</v>
      </c>
      <c r="BV83">
        <v>1.0116463461602505</v>
      </c>
      <c r="BW83">
        <v>1.1499062113132223</v>
      </c>
      <c r="BX83">
        <v>1.3620022333731294</v>
      </c>
    </row>
    <row r="84" spans="1:76">
      <c r="A84" t="s">
        <v>218</v>
      </c>
      <c r="B84">
        <v>2008</v>
      </c>
      <c r="C84">
        <v>10</v>
      </c>
      <c r="D84">
        <v>21</v>
      </c>
      <c r="E84">
        <v>10.7</v>
      </c>
      <c r="F84">
        <v>3</v>
      </c>
      <c r="G84">
        <v>0.67096500000000003</v>
      </c>
      <c r="H84">
        <v>7.1727119247082163</v>
      </c>
      <c r="I84">
        <v>1.8</v>
      </c>
      <c r="J84">
        <v>0.65884508305957168</v>
      </c>
      <c r="K84">
        <v>2.528766820032772</v>
      </c>
      <c r="L84">
        <v>1.6660655855827806</v>
      </c>
      <c r="M84">
        <v>2.4040345523495743</v>
      </c>
      <c r="N84">
        <v>2.2393682862215285</v>
      </c>
      <c r="O84">
        <v>2.087181351599162</v>
      </c>
      <c r="P84">
        <v>1.9552665191291112</v>
      </c>
      <c r="Q84">
        <v>1.8303051313918586</v>
      </c>
      <c r="R84">
        <v>1.7147161485747393</v>
      </c>
      <c r="S84">
        <v>1.6166383309740042</v>
      </c>
      <c r="T84">
        <v>1.5251186090540767</v>
      </c>
      <c r="U84">
        <v>1.4374256543917379</v>
      </c>
      <c r="V84">
        <v>1.3438719216263322</v>
      </c>
      <c r="W84">
        <v>1.2531473842633267</v>
      </c>
      <c r="X84">
        <v>1.1751505436102283</v>
      </c>
      <c r="Y84">
        <v>1.1070633627761985</v>
      </c>
      <c r="Z84">
        <v>1.0447933911663401</v>
      </c>
      <c r="AA84">
        <v>0.98364602193260708</v>
      </c>
      <c r="AB84">
        <v>0.92439783637352779</v>
      </c>
      <c r="AC84">
        <v>0.87009872883000017</v>
      </c>
      <c r="AD84">
        <v>0.82253906858246506</v>
      </c>
      <c r="AE84">
        <v>0.77863856721720359</v>
      </c>
      <c r="AF84">
        <v>0.73848124784618918</v>
      </c>
      <c r="AG84">
        <v>0.70325056981888878</v>
      </c>
      <c r="AH84">
        <v>0.67044803060910985</v>
      </c>
      <c r="AI84">
        <v>0.64127303964711735</v>
      </c>
      <c r="AJ84">
        <v>0.61330742714445663</v>
      </c>
      <c r="AK84">
        <v>0.58298306583404969</v>
      </c>
      <c r="AL84">
        <v>0.55512338920418403</v>
      </c>
      <c r="AM84">
        <v>0.53130282982611077</v>
      </c>
      <c r="AN84">
        <v>0.50921028453144535</v>
      </c>
      <c r="AO84">
        <v>0.48977754556934999</v>
      </c>
      <c r="AP84">
        <v>0.47281405673102472</v>
      </c>
      <c r="AQ84">
        <v>0.45652767180212095</v>
      </c>
      <c r="AR84">
        <v>0.44291841843160173</v>
      </c>
      <c r="AS84">
        <v>0.42334740054834696</v>
      </c>
      <c r="AT84">
        <v>0.41113188972578318</v>
      </c>
      <c r="AU84">
        <v>0.40256093242765001</v>
      </c>
      <c r="AV84">
        <v>0.39985351165384103</v>
      </c>
      <c r="AW84">
        <v>0.40643474352278408</v>
      </c>
      <c r="AX84">
        <v>0.42387931747724922</v>
      </c>
      <c r="AY84">
        <v>0.44632360855531894</v>
      </c>
      <c r="AZ84">
        <v>0.47672845692164223</v>
      </c>
      <c r="BA84">
        <v>0.53469418415949621</v>
      </c>
      <c r="BB84">
        <v>0.56886699155276499</v>
      </c>
      <c r="BC84">
        <v>0.57727208854377254</v>
      </c>
      <c r="BD84">
        <v>0.57968105264681213</v>
      </c>
      <c r="BE84">
        <v>0.58665691395946384</v>
      </c>
      <c r="BF84">
        <v>0.59149144754060134</v>
      </c>
      <c r="BG84">
        <v>0.59679132532072421</v>
      </c>
      <c r="BH84">
        <v>0.60451427173820582</v>
      </c>
      <c r="BI84">
        <v>0.60992571451065025</v>
      </c>
      <c r="BJ84">
        <v>0.62238934128890544</v>
      </c>
      <c r="BK84">
        <v>0.63884156092870714</v>
      </c>
      <c r="BL84">
        <v>0.68117978064396556</v>
      </c>
      <c r="BM84">
        <v>0.74822113624365671</v>
      </c>
      <c r="BN84">
        <v>0.80048454784904521</v>
      </c>
      <c r="BO84">
        <v>0.8394839614598324</v>
      </c>
      <c r="BP84">
        <v>0.85645185369182553</v>
      </c>
      <c r="BQ84">
        <v>0.85844795082263203</v>
      </c>
      <c r="BR84">
        <v>0.84250447811149709</v>
      </c>
      <c r="BS84">
        <v>0.83041033798905184</v>
      </c>
      <c r="BT84">
        <v>0.84539060368482721</v>
      </c>
      <c r="BU84">
        <v>0.89928821699558792</v>
      </c>
      <c r="BV84">
        <v>0.98445491551766207</v>
      </c>
      <c r="BW84">
        <v>1.1220857956625077</v>
      </c>
      <c r="BX84">
        <v>1.3341785246395912</v>
      </c>
    </row>
    <row r="85" spans="1:76">
      <c r="A85" t="s">
        <v>219</v>
      </c>
      <c r="B85">
        <v>2008</v>
      </c>
      <c r="C85">
        <v>10</v>
      </c>
      <c r="D85">
        <v>21</v>
      </c>
      <c r="E85">
        <v>10.933333333333334</v>
      </c>
      <c r="F85">
        <v>3</v>
      </c>
      <c r="G85">
        <v>0.48457</v>
      </c>
      <c r="H85">
        <v>6.150140686211353</v>
      </c>
      <c r="I85">
        <v>3.4</v>
      </c>
      <c r="J85">
        <v>0.79100141181796657</v>
      </c>
      <c r="K85">
        <v>1.3345824730892666</v>
      </c>
      <c r="L85">
        <v>1.0556566204011233</v>
      </c>
      <c r="M85">
        <v>2.2576775418496751</v>
      </c>
      <c r="N85">
        <v>2.12801040165927</v>
      </c>
      <c r="O85">
        <v>2.007393603327488</v>
      </c>
      <c r="P85">
        <v>1.9029661278594716</v>
      </c>
      <c r="Q85">
        <v>1.8030171522928005</v>
      </c>
      <c r="R85">
        <v>1.7098688440987317</v>
      </c>
      <c r="S85">
        <v>1.630923239565357</v>
      </c>
      <c r="T85">
        <v>1.5565621026563705</v>
      </c>
      <c r="U85">
        <v>1.4845386115611876</v>
      </c>
      <c r="V85">
        <v>1.4062567970286171</v>
      </c>
      <c r="W85">
        <v>1.3296245316077546</v>
      </c>
      <c r="X85">
        <v>1.2633603588155577</v>
      </c>
      <c r="Y85">
        <v>1.2051644192141691</v>
      </c>
      <c r="Z85">
        <v>1.1515003171642286</v>
      </c>
      <c r="AA85">
        <v>1.0982361763023825</v>
      </c>
      <c r="AB85">
        <v>1.0461529378788683</v>
      </c>
      <c r="AC85">
        <v>0.99804777073014905</v>
      </c>
      <c r="AD85">
        <v>0.9554674105355333</v>
      </c>
      <c r="AE85">
        <v>0.9158084871912594</v>
      </c>
      <c r="AF85">
        <v>0.87925059457297339</v>
      </c>
      <c r="AG85">
        <v>0.8468800042228124</v>
      </c>
      <c r="AH85">
        <v>0.81664006564179359</v>
      </c>
      <c r="AI85">
        <v>0.78961346436000768</v>
      </c>
      <c r="AJ85">
        <v>0.76346793865355433</v>
      </c>
      <c r="AK85">
        <v>0.73420612325628443</v>
      </c>
      <c r="AL85">
        <v>0.70689107239756388</v>
      </c>
      <c r="AM85">
        <v>0.68317149249038511</v>
      </c>
      <c r="AN85">
        <v>0.6608761108365161</v>
      </c>
      <c r="AO85">
        <v>0.64091481915601489</v>
      </c>
      <c r="AP85">
        <v>0.62328040281236252</v>
      </c>
      <c r="AQ85">
        <v>0.6063849126223686</v>
      </c>
      <c r="AR85">
        <v>0.59156476906033473</v>
      </c>
      <c r="AS85">
        <v>0.57102249888723722</v>
      </c>
      <c r="AT85">
        <v>0.55721665329228087</v>
      </c>
      <c r="AU85">
        <v>0.54715680864351901</v>
      </c>
      <c r="AV85">
        <v>0.54284863898797564</v>
      </c>
      <c r="AW85">
        <v>0.54778531864699476</v>
      </c>
      <c r="AX85">
        <v>0.56378417515488954</v>
      </c>
      <c r="AY85">
        <v>0.58484820278934935</v>
      </c>
      <c r="AZ85">
        <v>0.61390627837451872</v>
      </c>
      <c r="BA85">
        <v>0.67065555349147743</v>
      </c>
      <c r="BB85">
        <v>0.70274392363144467</v>
      </c>
      <c r="BC85">
        <v>0.70841061742983957</v>
      </c>
      <c r="BD85">
        <v>0.70799755689220145</v>
      </c>
      <c r="BE85">
        <v>0.71223605665540135</v>
      </c>
      <c r="BF85">
        <v>0.7145675783743094</v>
      </c>
      <c r="BG85">
        <v>0.71735381188375769</v>
      </c>
      <c r="BH85">
        <v>0.7224936324278487</v>
      </c>
      <c r="BI85">
        <v>0.72555433539554215</v>
      </c>
      <c r="BJ85">
        <v>0.73553715962375854</v>
      </c>
      <c r="BK85">
        <v>0.74919486428834814</v>
      </c>
      <c r="BL85">
        <v>0.78802824172565411</v>
      </c>
      <c r="BM85">
        <v>0.84993655644464305</v>
      </c>
      <c r="BN85">
        <v>0.89610694863934959</v>
      </c>
      <c r="BO85">
        <v>0.92927856612525028</v>
      </c>
      <c r="BP85">
        <v>0.9426011165438144</v>
      </c>
      <c r="BQ85">
        <v>0.94352378419166849</v>
      </c>
      <c r="BR85">
        <v>0.92890887229651842</v>
      </c>
      <c r="BS85">
        <v>0.91885927438687975</v>
      </c>
      <c r="BT85">
        <v>0.93464841483248406</v>
      </c>
      <c r="BU85">
        <v>0.98797517983447902</v>
      </c>
      <c r="BV85">
        <v>1.0711197101465133</v>
      </c>
      <c r="BW85">
        <v>1.206496944089124</v>
      </c>
      <c r="BX85">
        <v>1.4155101141025601</v>
      </c>
    </row>
    <row r="86" spans="1:76">
      <c r="A86" t="s">
        <v>224</v>
      </c>
      <c r="B86">
        <v>2008</v>
      </c>
      <c r="C86">
        <v>10</v>
      </c>
      <c r="D86">
        <v>21</v>
      </c>
      <c r="E86">
        <v>12.216666666666665</v>
      </c>
      <c r="F86">
        <v>3</v>
      </c>
      <c r="G86">
        <v>0.60216000000000003</v>
      </c>
      <c r="H86">
        <v>6.6875661427579702</v>
      </c>
      <c r="I86">
        <v>1.6</v>
      </c>
      <c r="J86">
        <v>0.62001552648370073</v>
      </c>
      <c r="K86">
        <v>2.8390746004377974</v>
      </c>
      <c r="L86">
        <v>1.7602703331169431</v>
      </c>
      <c r="M86">
        <v>2.1610738663647142</v>
      </c>
      <c r="N86">
        <v>2.0141060617154154</v>
      </c>
      <c r="O86">
        <v>1.8781994923915695</v>
      </c>
      <c r="P86">
        <v>1.7607981275284379</v>
      </c>
      <c r="Q86">
        <v>1.6493360749428407</v>
      </c>
      <c r="R86">
        <v>1.546160192086584</v>
      </c>
      <c r="S86">
        <v>1.4590286736010192</v>
      </c>
      <c r="T86">
        <v>1.3776164764631909</v>
      </c>
      <c r="U86">
        <v>1.2994085981393153</v>
      </c>
      <c r="V86">
        <v>1.2152335288743159</v>
      </c>
      <c r="W86">
        <v>1.1333859647499052</v>
      </c>
      <c r="X86">
        <v>1.0631820615045438</v>
      </c>
      <c r="Y86">
        <v>1.0020422992146969</v>
      </c>
      <c r="Z86">
        <v>0.94613426354254671</v>
      </c>
      <c r="AA86">
        <v>0.89102924514130888</v>
      </c>
      <c r="AB86">
        <v>0.83749915673369069</v>
      </c>
      <c r="AC86">
        <v>0.78846471251604189</v>
      </c>
      <c r="AD86">
        <v>0.7455943999756689</v>
      </c>
      <c r="AE86">
        <v>0.70603487571871171</v>
      </c>
      <c r="AF86">
        <v>0.66991249684610565</v>
      </c>
      <c r="AG86">
        <v>0.6383593379025827</v>
      </c>
      <c r="AH86">
        <v>0.60908819442485196</v>
      </c>
      <c r="AI86">
        <v>0.5832378016323394</v>
      </c>
      <c r="AJ86">
        <v>0.55843810776677816</v>
      </c>
      <c r="AK86">
        <v>0.5309427629429746</v>
      </c>
      <c r="AL86">
        <v>0.50566600092329961</v>
      </c>
      <c r="AM86">
        <v>0.48420264302020405</v>
      </c>
      <c r="AN86">
        <v>0.46431849128089597</v>
      </c>
      <c r="AO86">
        <v>0.44692326388049508</v>
      </c>
      <c r="AP86">
        <v>0.43190534837572919</v>
      </c>
      <c r="AQ86">
        <v>0.417581752815397</v>
      </c>
      <c r="AR86">
        <v>0.40562084735552328</v>
      </c>
      <c r="AS86">
        <v>0.38789546781094042</v>
      </c>
      <c r="AT86">
        <v>0.37712699645318887</v>
      </c>
      <c r="AU86">
        <v>0.36997064587553347</v>
      </c>
      <c r="AV86">
        <v>0.36849457872148794</v>
      </c>
      <c r="AW86">
        <v>0.37608503183535513</v>
      </c>
      <c r="AX86">
        <v>0.39442515765135455</v>
      </c>
      <c r="AY86">
        <v>0.41773749698007023</v>
      </c>
      <c r="AZ86">
        <v>0.4489656836663502</v>
      </c>
      <c r="BA86">
        <v>0.50764544171973536</v>
      </c>
      <c r="BB86">
        <v>0.54242044782965082</v>
      </c>
      <c r="BC86">
        <v>0.55128827795648383</v>
      </c>
      <c r="BD86">
        <v>0.55413941684486068</v>
      </c>
      <c r="BE86">
        <v>0.56155567248454763</v>
      </c>
      <c r="BF86">
        <v>0.56693659079344749</v>
      </c>
      <c r="BG86">
        <v>0.57276136373742736</v>
      </c>
      <c r="BH86">
        <v>0.58095207752347588</v>
      </c>
      <c r="BI86">
        <v>0.58693818362894934</v>
      </c>
      <c r="BJ86">
        <v>0.59987447670756455</v>
      </c>
      <c r="BK86">
        <v>0.61662944094379912</v>
      </c>
      <c r="BL86">
        <v>0.65884616409772034</v>
      </c>
      <c r="BM86">
        <v>0.72495078296094639</v>
      </c>
      <c r="BN86">
        <v>0.77588114161245769</v>
      </c>
      <c r="BO86">
        <v>0.81370100042664106</v>
      </c>
      <c r="BP86">
        <v>0.83055228517056678</v>
      </c>
      <c r="BQ86">
        <v>0.83365968177837813</v>
      </c>
      <c r="BR86">
        <v>0.81998213167510703</v>
      </c>
      <c r="BS86">
        <v>0.81047331052950744</v>
      </c>
      <c r="BT86">
        <v>0.82739574061244314</v>
      </c>
      <c r="BU86">
        <v>0.88250526625526715</v>
      </c>
      <c r="BV86">
        <v>0.96814191566523633</v>
      </c>
      <c r="BW86">
        <v>1.1060353903934361</v>
      </c>
      <c r="BX86">
        <v>1.3178645631897306</v>
      </c>
    </row>
    <row r="87" spans="1:76">
      <c r="A87" t="s">
        <v>220</v>
      </c>
      <c r="B87">
        <v>2008</v>
      </c>
      <c r="C87">
        <v>10</v>
      </c>
      <c r="D87">
        <v>21</v>
      </c>
      <c r="E87">
        <v>13.350000000000001</v>
      </c>
      <c r="F87">
        <v>3</v>
      </c>
      <c r="G87">
        <v>0.60347499999999998</v>
      </c>
      <c r="H87">
        <v>5.6462496153389088</v>
      </c>
      <c r="I87">
        <v>1.7</v>
      </c>
      <c r="J87">
        <v>0.63207012335117152</v>
      </c>
      <c r="K87">
        <v>2.6753166786885463</v>
      </c>
      <c r="L87">
        <v>1.6909877431021159</v>
      </c>
      <c r="M87">
        <v>2.217376034171894</v>
      </c>
      <c r="N87">
        <v>2.0646805831342734</v>
      </c>
      <c r="O87">
        <v>1.9237757068083194</v>
      </c>
      <c r="P87">
        <v>1.8012473288978299</v>
      </c>
      <c r="Q87">
        <v>1.6855138009139568</v>
      </c>
      <c r="R87">
        <v>1.578570733203801</v>
      </c>
      <c r="S87">
        <v>1.4873444636886419</v>
      </c>
      <c r="T87">
        <v>1.4023577590935807</v>
      </c>
      <c r="U87">
        <v>1.3213003268629095</v>
      </c>
      <c r="V87">
        <v>1.2356657253306436</v>
      </c>
      <c r="W87">
        <v>1.1529838088250979</v>
      </c>
      <c r="X87">
        <v>1.0814218942549227</v>
      </c>
      <c r="Y87">
        <v>1.0187164103790742</v>
      </c>
      <c r="Z87">
        <v>0.96136936716200139</v>
      </c>
      <c r="AA87">
        <v>0.90529323280610352</v>
      </c>
      <c r="AB87">
        <v>0.85117282227567093</v>
      </c>
      <c r="AC87">
        <v>0.80164507077892855</v>
      </c>
      <c r="AD87">
        <v>0.7580674666080589</v>
      </c>
      <c r="AE87">
        <v>0.71792760530307098</v>
      </c>
      <c r="AF87">
        <v>0.68137467114794459</v>
      </c>
      <c r="AG87">
        <v>0.64939135778267132</v>
      </c>
      <c r="AH87">
        <v>0.62003987951691841</v>
      </c>
      <c r="AI87">
        <v>0.59429346294368579</v>
      </c>
      <c r="AJ87">
        <v>0.56976573121224328</v>
      </c>
      <c r="AK87">
        <v>0.54214867014035883</v>
      </c>
      <c r="AL87">
        <v>0.51666451644083722</v>
      </c>
      <c r="AM87">
        <v>0.49495893782195699</v>
      </c>
      <c r="AN87">
        <v>0.47487133337418386</v>
      </c>
      <c r="AO87">
        <v>0.45725798747031987</v>
      </c>
      <c r="AP87">
        <v>0.442160863839831</v>
      </c>
      <c r="AQ87">
        <v>0.42807132380801238</v>
      </c>
      <c r="AR87">
        <v>0.41592785201924609</v>
      </c>
      <c r="AS87">
        <v>0.39848940032340774</v>
      </c>
      <c r="AT87">
        <v>0.38751601060013063</v>
      </c>
      <c r="AU87">
        <v>0.38038912395431823</v>
      </c>
      <c r="AV87">
        <v>0.37890777836759104</v>
      </c>
      <c r="AW87">
        <v>0.38650431398990981</v>
      </c>
      <c r="AX87">
        <v>0.40517821331905013</v>
      </c>
      <c r="AY87">
        <v>0.42911067433164851</v>
      </c>
      <c r="AZ87">
        <v>0.46129330888278702</v>
      </c>
      <c r="BA87">
        <v>0.52181106116109677</v>
      </c>
      <c r="BB87">
        <v>0.557358263621892</v>
      </c>
      <c r="BC87">
        <v>0.56582013860068736</v>
      </c>
      <c r="BD87">
        <v>0.56808330689259201</v>
      </c>
      <c r="BE87">
        <v>0.57515192527855208</v>
      </c>
      <c r="BF87">
        <v>0.58042259215611058</v>
      </c>
      <c r="BG87">
        <v>0.58616882179185503</v>
      </c>
      <c r="BH87">
        <v>0.5942958028264782</v>
      </c>
      <c r="BI87">
        <v>0.60043474571123245</v>
      </c>
      <c r="BJ87">
        <v>0.61358837679697642</v>
      </c>
      <c r="BK87">
        <v>0.63035485864089436</v>
      </c>
      <c r="BL87">
        <v>0.67257423200726829</v>
      </c>
      <c r="BM87">
        <v>0.73769900457967597</v>
      </c>
      <c r="BN87">
        <v>0.78622532119684585</v>
      </c>
      <c r="BO87">
        <v>0.82155543304267831</v>
      </c>
      <c r="BP87">
        <v>0.83762907958153576</v>
      </c>
      <c r="BQ87">
        <v>0.84229556562115049</v>
      </c>
      <c r="BR87">
        <v>0.83223450321495807</v>
      </c>
      <c r="BS87">
        <v>0.82723725683730787</v>
      </c>
      <c r="BT87">
        <v>0.84815707344674041</v>
      </c>
      <c r="BU87">
        <v>0.90696069906255794</v>
      </c>
      <c r="BV87">
        <v>0.99568797417631716</v>
      </c>
      <c r="BW87">
        <v>1.1380428805124934</v>
      </c>
      <c r="BX87">
        <v>1.3557365402948842</v>
      </c>
    </row>
    <row r="88" spans="1:76">
      <c r="A88" t="s">
        <v>221</v>
      </c>
      <c r="B88">
        <v>2008</v>
      </c>
      <c r="C88">
        <v>10</v>
      </c>
      <c r="D88">
        <v>21</v>
      </c>
      <c r="E88">
        <v>13.616666666666667</v>
      </c>
      <c r="F88">
        <v>3</v>
      </c>
      <c r="G88">
        <v>0.61766100000000002</v>
      </c>
      <c r="H88">
        <v>4.18063142764837</v>
      </c>
      <c r="I88">
        <v>1.6</v>
      </c>
      <c r="J88">
        <v>0.61152786132016534</v>
      </c>
      <c r="K88">
        <v>2.8388819477744485</v>
      </c>
      <c r="L88">
        <v>1.7360554060629338</v>
      </c>
      <c r="M88">
        <v>2.214637090936987</v>
      </c>
      <c r="N88">
        <v>2.0562878150512689</v>
      </c>
      <c r="O88">
        <v>1.9107123615784087</v>
      </c>
      <c r="P88">
        <v>1.7829265075718093</v>
      </c>
      <c r="Q88">
        <v>1.6632324666422786</v>
      </c>
      <c r="R88">
        <v>1.552998329304395</v>
      </c>
      <c r="S88">
        <v>1.457609297785549</v>
      </c>
      <c r="T88">
        <v>1.3692004577219627</v>
      </c>
      <c r="U88">
        <v>1.2858415079410559</v>
      </c>
      <c r="V88">
        <v>1.2003317444552017</v>
      </c>
      <c r="W88">
        <v>1.1187474729392137</v>
      </c>
      <c r="X88">
        <v>1.0471903254265849</v>
      </c>
      <c r="Y88">
        <v>0.9839535375199786</v>
      </c>
      <c r="Z88">
        <v>0.92616535616056539</v>
      </c>
      <c r="AA88">
        <v>0.87039515249034782</v>
      </c>
      <c r="AB88">
        <v>0.81716730731533382</v>
      </c>
      <c r="AC88">
        <v>0.76858203523084645</v>
      </c>
      <c r="AD88">
        <v>0.7254619283511845</v>
      </c>
      <c r="AE88">
        <v>0.68590394807945831</v>
      </c>
      <c r="AF88">
        <v>0.65008801769853242</v>
      </c>
      <c r="AG88">
        <v>0.6187241257882663</v>
      </c>
      <c r="AH88">
        <v>0.59047823841970204</v>
      </c>
      <c r="AI88">
        <v>0.56603327451803254</v>
      </c>
      <c r="AJ88">
        <v>0.54305631973935109</v>
      </c>
      <c r="AK88">
        <v>0.51649637765027823</v>
      </c>
      <c r="AL88">
        <v>0.49188460628399</v>
      </c>
      <c r="AM88">
        <v>0.47088773327240513</v>
      </c>
      <c r="AN88">
        <v>0.45153422925593478</v>
      </c>
      <c r="AO88">
        <v>0.4345607678803734</v>
      </c>
      <c r="AP88">
        <v>0.42024259293828758</v>
      </c>
      <c r="AQ88">
        <v>0.40739905382744235</v>
      </c>
      <c r="AR88">
        <v>0.39578814152201441</v>
      </c>
      <c r="AS88">
        <v>0.37982050388284438</v>
      </c>
      <c r="AT88">
        <v>0.36931584778364374</v>
      </c>
      <c r="AU88">
        <v>0.36288720686585191</v>
      </c>
      <c r="AV88">
        <v>0.36183996849109412</v>
      </c>
      <c r="AW88">
        <v>0.36955119379070944</v>
      </c>
      <c r="AX88">
        <v>0.38845288099384656</v>
      </c>
      <c r="AY88">
        <v>0.41288664400790437</v>
      </c>
      <c r="AZ88">
        <v>0.44582286714515307</v>
      </c>
      <c r="BA88">
        <v>0.50754023170536566</v>
      </c>
      <c r="BB88">
        <v>0.54349303659041959</v>
      </c>
      <c r="BC88">
        <v>0.55142276145436464</v>
      </c>
      <c r="BD88">
        <v>0.55307275910400167</v>
      </c>
      <c r="BE88">
        <v>0.55974361337819767</v>
      </c>
      <c r="BF88">
        <v>0.56504528642209262</v>
      </c>
      <c r="BG88">
        <v>0.57085466606974256</v>
      </c>
      <c r="BH88">
        <v>0.57898813864244825</v>
      </c>
      <c r="BI88">
        <v>0.58553547947474005</v>
      </c>
      <c r="BJ88">
        <v>0.59897099213440641</v>
      </c>
      <c r="BK88">
        <v>0.61557916277442337</v>
      </c>
      <c r="BL88">
        <v>0.65679420254563636</v>
      </c>
      <c r="BM88">
        <v>0.7186454455796778</v>
      </c>
      <c r="BN88">
        <v>0.76221967440062433</v>
      </c>
      <c r="BO88">
        <v>0.79288847178205568</v>
      </c>
      <c r="BP88">
        <v>0.80758861400814541</v>
      </c>
      <c r="BQ88">
        <v>0.81489550674311018</v>
      </c>
      <c r="BR88">
        <v>0.8111621037227269</v>
      </c>
      <c r="BS88">
        <v>0.81372565536132702</v>
      </c>
      <c r="BT88">
        <v>0.84056909821706993</v>
      </c>
      <c r="BU88">
        <v>0.9036058962108674</v>
      </c>
      <c r="BV88">
        <v>0.99466424555068989</v>
      </c>
      <c r="BW88">
        <v>1.1397719318927679</v>
      </c>
      <c r="BX88">
        <v>1.3599948769263952</v>
      </c>
    </row>
    <row r="89" spans="1:76">
      <c r="A89" t="s">
        <v>222</v>
      </c>
      <c r="B89">
        <v>2008</v>
      </c>
      <c r="C89">
        <v>10</v>
      </c>
      <c r="D89">
        <v>21</v>
      </c>
      <c r="E89">
        <v>13.833333333333336</v>
      </c>
      <c r="F89">
        <v>3</v>
      </c>
      <c r="G89">
        <v>0.65471199999999996</v>
      </c>
      <c r="H89">
        <v>4.798109677252608</v>
      </c>
      <c r="I89">
        <v>1.7</v>
      </c>
      <c r="J89">
        <v>0.63893004070033077</v>
      </c>
      <c r="K89">
        <v>2.6700598094116539</v>
      </c>
      <c r="L89">
        <v>1.7059814226997054</v>
      </c>
      <c r="M89">
        <v>2.3696638201133378</v>
      </c>
      <c r="N89">
        <v>2.2009205470662869</v>
      </c>
      <c r="O89">
        <v>2.0456618093352188</v>
      </c>
      <c r="P89">
        <v>1.9095595913157581</v>
      </c>
      <c r="Q89">
        <v>1.7818951869946913</v>
      </c>
      <c r="R89">
        <v>1.6642523062348236</v>
      </c>
      <c r="S89">
        <v>1.5626890223562115</v>
      </c>
      <c r="T89">
        <v>1.4684793795429263</v>
      </c>
      <c r="U89">
        <v>1.3794478783974879</v>
      </c>
      <c r="V89">
        <v>1.2876838945290452</v>
      </c>
      <c r="W89">
        <v>1.1999295313376435</v>
      </c>
      <c r="X89">
        <v>1.1232227801104528</v>
      </c>
      <c r="Y89">
        <v>1.0555544543668309</v>
      </c>
      <c r="Z89">
        <v>0.99371021125624337</v>
      </c>
      <c r="AA89">
        <v>0.93390103485487219</v>
      </c>
      <c r="AB89">
        <v>0.87669892251586568</v>
      </c>
      <c r="AC89">
        <v>0.82443850914187888</v>
      </c>
      <c r="AD89">
        <v>0.77816132510530234</v>
      </c>
      <c r="AE89">
        <v>0.73565327951211612</v>
      </c>
      <c r="AF89">
        <v>0.69706046850678161</v>
      </c>
      <c r="AG89">
        <v>0.66320047744187804</v>
      </c>
      <c r="AH89">
        <v>0.63244314928013345</v>
      </c>
      <c r="AI89">
        <v>0.60558746837529054</v>
      </c>
      <c r="AJ89">
        <v>0.58023952959545144</v>
      </c>
      <c r="AK89">
        <v>0.55161734942169771</v>
      </c>
      <c r="AL89">
        <v>0.52515524406746716</v>
      </c>
      <c r="AM89">
        <v>0.50251333920335639</v>
      </c>
      <c r="AN89">
        <v>0.48160917679573756</v>
      </c>
      <c r="AO89">
        <v>0.46322984570832387</v>
      </c>
      <c r="AP89">
        <v>0.44754331266888725</v>
      </c>
      <c r="AQ89">
        <v>0.43320783352789816</v>
      </c>
      <c r="AR89">
        <v>0.42049119734979418</v>
      </c>
      <c r="AS89">
        <v>0.40302429732460227</v>
      </c>
      <c r="AT89">
        <v>0.39156067938025357</v>
      </c>
      <c r="AU89">
        <v>0.38415820871720269</v>
      </c>
      <c r="AV89">
        <v>0.38235050718395713</v>
      </c>
      <c r="AW89">
        <v>0.38957394875027407</v>
      </c>
      <c r="AX89">
        <v>0.40810107444145349</v>
      </c>
      <c r="AY89">
        <v>0.43214757163414647</v>
      </c>
      <c r="AZ89">
        <v>0.46472384490235341</v>
      </c>
      <c r="BA89">
        <v>0.52625157375513554</v>
      </c>
      <c r="BB89">
        <v>0.56210794833925404</v>
      </c>
      <c r="BC89">
        <v>0.57005853056467559</v>
      </c>
      <c r="BD89">
        <v>0.57171459713960737</v>
      </c>
      <c r="BE89">
        <v>0.57837439730928786</v>
      </c>
      <c r="BF89">
        <v>0.58347876205068061</v>
      </c>
      <c r="BG89">
        <v>0.58909893295541038</v>
      </c>
      <c r="BH89">
        <v>0.59710991555046267</v>
      </c>
      <c r="BI89">
        <v>0.60335330071169213</v>
      </c>
      <c r="BJ89">
        <v>0.61663145698096289</v>
      </c>
      <c r="BK89">
        <v>0.6333237889193436</v>
      </c>
      <c r="BL89">
        <v>0.67529269821522764</v>
      </c>
      <c r="BM89">
        <v>0.73914300718130976</v>
      </c>
      <c r="BN89">
        <v>0.78524796464696334</v>
      </c>
      <c r="BO89">
        <v>0.81817787735545888</v>
      </c>
      <c r="BP89">
        <v>0.83351764349710744</v>
      </c>
      <c r="BQ89">
        <v>0.8396209579076499</v>
      </c>
      <c r="BR89">
        <v>0.8329404307574827</v>
      </c>
      <c r="BS89">
        <v>0.83209313954288988</v>
      </c>
      <c r="BT89">
        <v>0.85653096944178264</v>
      </c>
      <c r="BU89">
        <v>0.91832793263003631</v>
      </c>
      <c r="BV89">
        <v>1.0093101261093649</v>
      </c>
      <c r="BW89">
        <v>1.1547845272891317</v>
      </c>
      <c r="BX89">
        <v>1.3763437248228307</v>
      </c>
    </row>
    <row r="90" spans="1:76">
      <c r="A90" t="s">
        <v>223</v>
      </c>
      <c r="B90">
        <v>2008</v>
      </c>
      <c r="C90">
        <v>10</v>
      </c>
      <c r="D90">
        <v>21</v>
      </c>
      <c r="E90">
        <v>14.2</v>
      </c>
      <c r="F90">
        <v>3</v>
      </c>
      <c r="G90">
        <v>0.52405900000000005</v>
      </c>
      <c r="H90">
        <v>5.1957509758171874</v>
      </c>
      <c r="I90">
        <v>2.2999999999999998</v>
      </c>
      <c r="J90">
        <v>0.69247338380538503</v>
      </c>
      <c r="K90">
        <v>1.9824911282717239</v>
      </c>
      <c r="L90">
        <v>1.3728223399584762</v>
      </c>
      <c r="M90">
        <v>2.1916785092011324</v>
      </c>
      <c r="N90">
        <v>2.0503467382794986</v>
      </c>
      <c r="O90">
        <v>1.9196422646592912</v>
      </c>
      <c r="P90">
        <v>1.806025090359217</v>
      </c>
      <c r="Q90">
        <v>1.6983196417610724</v>
      </c>
      <c r="R90">
        <v>1.5985233731674295</v>
      </c>
      <c r="S90">
        <v>1.5134177334104713</v>
      </c>
      <c r="T90">
        <v>1.4338652870752799</v>
      </c>
      <c r="U90">
        <v>1.3577105295086895</v>
      </c>
      <c r="V90">
        <v>1.2766928367131556</v>
      </c>
      <c r="W90">
        <v>1.1982012844673113</v>
      </c>
      <c r="X90">
        <v>1.1300809658122919</v>
      </c>
      <c r="Y90">
        <v>1.0702442337096469</v>
      </c>
      <c r="Z90">
        <v>1.015347918238104</v>
      </c>
      <c r="AA90">
        <v>0.96144352943771949</v>
      </c>
      <c r="AB90">
        <v>0.90923248208262053</v>
      </c>
      <c r="AC90">
        <v>0.86131360753716413</v>
      </c>
      <c r="AD90">
        <v>0.81896578723411628</v>
      </c>
      <c r="AE90">
        <v>0.77982737820531345</v>
      </c>
      <c r="AF90">
        <v>0.74409453890054111</v>
      </c>
      <c r="AG90">
        <v>0.71273657560012627</v>
      </c>
      <c r="AH90">
        <v>0.68397389542190123</v>
      </c>
      <c r="AI90">
        <v>0.65874954982032996</v>
      </c>
      <c r="AJ90">
        <v>0.63463530164649729</v>
      </c>
      <c r="AK90">
        <v>0.60696511466893743</v>
      </c>
      <c r="AL90">
        <v>0.58125531971604549</v>
      </c>
      <c r="AM90">
        <v>0.55924232491407622</v>
      </c>
      <c r="AN90">
        <v>0.53875905596236162</v>
      </c>
      <c r="AO90">
        <v>0.52068097798079349</v>
      </c>
      <c r="AP90">
        <v>0.50514634147117254</v>
      </c>
      <c r="AQ90">
        <v>0.4906965889084306</v>
      </c>
      <c r="AR90">
        <v>0.4779552061734772</v>
      </c>
      <c r="AS90">
        <v>0.45988556065837127</v>
      </c>
      <c r="AT90">
        <v>0.44817793503863501</v>
      </c>
      <c r="AU90">
        <v>0.44049625893114197</v>
      </c>
      <c r="AV90">
        <v>0.43858036703090797</v>
      </c>
      <c r="AW90">
        <v>0.4459989698071179</v>
      </c>
      <c r="AX90">
        <v>0.46493784739704447</v>
      </c>
      <c r="AY90">
        <v>0.4893338353798683</v>
      </c>
      <c r="AZ90">
        <v>0.52225863086770363</v>
      </c>
      <c r="BA90">
        <v>0.58448956087975845</v>
      </c>
      <c r="BB90">
        <v>0.62053144587789566</v>
      </c>
      <c r="BC90">
        <v>0.62829681801106863</v>
      </c>
      <c r="BD90">
        <v>0.62962316628625947</v>
      </c>
      <c r="BE90">
        <v>0.63595140165257158</v>
      </c>
      <c r="BF90">
        <v>0.64054016685563042</v>
      </c>
      <c r="BG90">
        <v>0.64561431843417216</v>
      </c>
      <c r="BH90">
        <v>0.65311119575770249</v>
      </c>
      <c r="BI90">
        <v>0.65867097983318645</v>
      </c>
      <c r="BJ90">
        <v>0.6714033715536889</v>
      </c>
      <c r="BK90">
        <v>0.68771010083189643</v>
      </c>
      <c r="BL90">
        <v>0.72994954251408739</v>
      </c>
      <c r="BM90">
        <v>0.79503717582345623</v>
      </c>
      <c r="BN90">
        <v>0.8425109666692987</v>
      </c>
      <c r="BO90">
        <v>0.8764920523912253</v>
      </c>
      <c r="BP90">
        <v>0.89167078514120113</v>
      </c>
      <c r="BQ90">
        <v>0.89633970318423906</v>
      </c>
      <c r="BR90">
        <v>0.88698301873918983</v>
      </c>
      <c r="BS90">
        <v>0.88320776531388856</v>
      </c>
      <c r="BT90">
        <v>0.9055823473390443</v>
      </c>
      <c r="BU90">
        <v>0.96639213840998994</v>
      </c>
      <c r="BV90">
        <v>1.0573841877493317</v>
      </c>
      <c r="BW90">
        <v>1.2036358860117629</v>
      </c>
      <c r="BX90">
        <v>1.4272720614194196</v>
      </c>
    </row>
    <row r="91" spans="1:76">
      <c r="A91" t="s">
        <v>215</v>
      </c>
      <c r="B91">
        <v>2008</v>
      </c>
      <c r="C91">
        <v>10</v>
      </c>
      <c r="D91">
        <v>21</v>
      </c>
      <c r="E91">
        <v>14.683333333333334</v>
      </c>
      <c r="F91">
        <v>3</v>
      </c>
      <c r="G91">
        <v>0.50034199999999995</v>
      </c>
      <c r="H91">
        <v>3.5466121750207567</v>
      </c>
      <c r="I91">
        <v>1.4</v>
      </c>
      <c r="J91">
        <v>0.57525283791289983</v>
      </c>
      <c r="K91">
        <v>3.2280152896822361</v>
      </c>
      <c r="L91">
        <v>1.8569249562159378</v>
      </c>
      <c r="M91">
        <v>1.9044627939835173</v>
      </c>
      <c r="N91">
        <v>1.7702699404370188</v>
      </c>
      <c r="O91">
        <v>1.6468618592013484</v>
      </c>
      <c r="P91">
        <v>1.5389409133586802</v>
      </c>
      <c r="Q91">
        <v>1.4376117636427415</v>
      </c>
      <c r="R91">
        <v>1.3442048484203293</v>
      </c>
      <c r="S91">
        <v>1.2637610053082138</v>
      </c>
      <c r="T91">
        <v>1.1890886465101609</v>
      </c>
      <c r="U91">
        <v>1.1185355522275726</v>
      </c>
      <c r="V91">
        <v>1.0454070137896641</v>
      </c>
      <c r="W91">
        <v>0.97544169783972967</v>
      </c>
      <c r="X91">
        <v>0.91408808456587443</v>
      </c>
      <c r="Y91">
        <v>0.85996050949984648</v>
      </c>
      <c r="Z91">
        <v>0.81048671668871697</v>
      </c>
      <c r="AA91">
        <v>0.7625164878478623</v>
      </c>
      <c r="AB91">
        <v>0.71659547178894867</v>
      </c>
      <c r="AC91">
        <v>0.67472929408433635</v>
      </c>
      <c r="AD91">
        <v>0.63758911419894171</v>
      </c>
      <c r="AE91">
        <v>0.60356268152626824</v>
      </c>
      <c r="AF91">
        <v>0.57291260573227565</v>
      </c>
      <c r="AG91">
        <v>0.54631186988338998</v>
      </c>
      <c r="AH91">
        <v>0.52272609380594837</v>
      </c>
      <c r="AI91">
        <v>0.50276911111396227</v>
      </c>
      <c r="AJ91">
        <v>0.48406696223816759</v>
      </c>
      <c r="AK91">
        <v>0.46101948920552183</v>
      </c>
      <c r="AL91">
        <v>0.43959229819781231</v>
      </c>
      <c r="AM91">
        <v>0.42156891815669417</v>
      </c>
      <c r="AN91">
        <v>0.4050040187942226</v>
      </c>
      <c r="AO91">
        <v>0.39063730012804021</v>
      </c>
      <c r="AP91">
        <v>0.37889563177224017</v>
      </c>
      <c r="AQ91">
        <v>0.36871888510561962</v>
      </c>
      <c r="AR91">
        <v>0.3592836071620128</v>
      </c>
      <c r="AS91">
        <v>0.345608498361137</v>
      </c>
      <c r="AT91">
        <v>0.336972061480524</v>
      </c>
      <c r="AU91">
        <v>0.33253792393775011</v>
      </c>
      <c r="AV91">
        <v>0.33341972818948201</v>
      </c>
      <c r="AW91">
        <v>0.34309029814155961</v>
      </c>
      <c r="AX91">
        <v>0.36427875341404886</v>
      </c>
      <c r="AY91">
        <v>0.39120862898818992</v>
      </c>
      <c r="AZ91">
        <v>0.42696444786801985</v>
      </c>
      <c r="BA91">
        <v>0.49267936305801352</v>
      </c>
      <c r="BB91">
        <v>0.53123571943664638</v>
      </c>
      <c r="BC91">
        <v>0.54021508883299763</v>
      </c>
      <c r="BD91">
        <v>0.54258193269860877</v>
      </c>
      <c r="BE91">
        <v>0.55020223861717898</v>
      </c>
      <c r="BF91">
        <v>0.55656067650565533</v>
      </c>
      <c r="BG91">
        <v>0.56341437091283009</v>
      </c>
      <c r="BH91">
        <v>0.57260760599058813</v>
      </c>
      <c r="BI91">
        <v>0.5803139495044134</v>
      </c>
      <c r="BJ91">
        <v>0.59506206424543484</v>
      </c>
      <c r="BK91">
        <v>0.61285461882234926</v>
      </c>
      <c r="BL91">
        <v>0.65573557694220297</v>
      </c>
      <c r="BM91">
        <v>0.71889545704933788</v>
      </c>
      <c r="BN91">
        <v>0.76225115448139502</v>
      </c>
      <c r="BO91">
        <v>0.79234080200890211</v>
      </c>
      <c r="BP91">
        <v>0.80745289187202141</v>
      </c>
      <c r="BQ91">
        <v>0.81683533710421852</v>
      </c>
      <c r="BR91">
        <v>0.81654226559073595</v>
      </c>
      <c r="BS91">
        <v>0.82336864587624981</v>
      </c>
      <c r="BT91">
        <v>0.85457284724588467</v>
      </c>
      <c r="BU91">
        <v>0.92249204678896923</v>
      </c>
      <c r="BV91">
        <v>1.0185473214624068</v>
      </c>
      <c r="BW91">
        <v>1.1708789519160399</v>
      </c>
      <c r="BX91">
        <v>1.4010302624452358</v>
      </c>
    </row>
    <row r="92" spans="1:76">
      <c r="A92" t="s">
        <v>214</v>
      </c>
      <c r="B92">
        <v>2008</v>
      </c>
      <c r="C92">
        <v>10</v>
      </c>
      <c r="D92">
        <v>21</v>
      </c>
      <c r="E92">
        <v>14.8</v>
      </c>
      <c r="F92">
        <v>3</v>
      </c>
      <c r="G92">
        <v>0.60740700000000003</v>
      </c>
      <c r="H92">
        <v>5.5760286768689014</v>
      </c>
      <c r="I92">
        <v>2.2999999999999998</v>
      </c>
      <c r="J92">
        <v>0.72190019616153844</v>
      </c>
      <c r="K92">
        <v>1.9774771482111864</v>
      </c>
      <c r="L92">
        <v>1.427541141198615</v>
      </c>
      <c r="M92">
        <v>2.4832347016332679</v>
      </c>
      <c r="N92">
        <v>2.3173248607615444</v>
      </c>
      <c r="O92">
        <v>2.1641230687178559</v>
      </c>
      <c r="P92">
        <v>2.0304876099311553</v>
      </c>
      <c r="Q92">
        <v>1.9042754685216574</v>
      </c>
      <c r="R92">
        <v>1.7875458190724993</v>
      </c>
      <c r="S92">
        <v>1.6875324497376925</v>
      </c>
      <c r="T92">
        <v>1.594297373968989</v>
      </c>
      <c r="U92">
        <v>1.5054105730302061</v>
      </c>
      <c r="V92">
        <v>1.4119336172880914</v>
      </c>
      <c r="W92">
        <v>1.3217506003910446</v>
      </c>
      <c r="X92">
        <v>1.2433772401358438</v>
      </c>
      <c r="Y92">
        <v>1.174443468117494</v>
      </c>
      <c r="Z92">
        <v>1.1112798601809641</v>
      </c>
      <c r="AA92">
        <v>1.0495968226257222</v>
      </c>
      <c r="AB92">
        <v>0.99009776189000931</v>
      </c>
      <c r="AC92">
        <v>0.93554033169548534</v>
      </c>
      <c r="AD92">
        <v>0.88732518617351341</v>
      </c>
      <c r="AE92">
        <v>0.8428235764835208</v>
      </c>
      <c r="AF92">
        <v>0.80218242517509908</v>
      </c>
      <c r="AG92">
        <v>0.76642571947872284</v>
      </c>
      <c r="AH92">
        <v>0.73353761056571809</v>
      </c>
      <c r="AI92">
        <v>0.70452079320787986</v>
      </c>
      <c r="AJ92">
        <v>0.67684870834593125</v>
      </c>
      <c r="AK92">
        <v>0.64593622471030987</v>
      </c>
      <c r="AL92">
        <v>0.61730696959332609</v>
      </c>
      <c r="AM92">
        <v>0.59269848601938668</v>
      </c>
      <c r="AN92">
        <v>0.56982934586810874</v>
      </c>
      <c r="AO92">
        <v>0.54960405885343488</v>
      </c>
      <c r="AP92">
        <v>0.53208490732759417</v>
      </c>
      <c r="AQ92">
        <v>0.51568500066806844</v>
      </c>
      <c r="AR92">
        <v>0.50133722759323851</v>
      </c>
      <c r="AS92">
        <v>0.48143819971124269</v>
      </c>
      <c r="AT92">
        <v>0.46837889409179145</v>
      </c>
      <c r="AU92">
        <v>0.45944845336531748</v>
      </c>
      <c r="AV92">
        <v>0.45654469286772331</v>
      </c>
      <c r="AW92">
        <v>0.46332211678631452</v>
      </c>
      <c r="AX92">
        <v>0.48191791729241407</v>
      </c>
      <c r="AY92">
        <v>0.50612789281849702</v>
      </c>
      <c r="AZ92">
        <v>0.53910561136393487</v>
      </c>
      <c r="BA92">
        <v>0.6021024621085882</v>
      </c>
      <c r="BB92">
        <v>0.63858118860061441</v>
      </c>
      <c r="BC92">
        <v>0.64636764613959075</v>
      </c>
      <c r="BD92">
        <v>0.6476129552707095</v>
      </c>
      <c r="BE92">
        <v>0.6539705468116056</v>
      </c>
      <c r="BF92">
        <v>0.65846470150005842</v>
      </c>
      <c r="BG92">
        <v>0.66347990104100718</v>
      </c>
      <c r="BH92">
        <v>0.67102511231212003</v>
      </c>
      <c r="BI92">
        <v>0.67650200719482256</v>
      </c>
      <c r="BJ92">
        <v>0.68939537984665233</v>
      </c>
      <c r="BK92">
        <v>0.70609685840612968</v>
      </c>
      <c r="BL92">
        <v>0.74967213579743275</v>
      </c>
      <c r="BM92">
        <v>0.81733029863508433</v>
      </c>
      <c r="BN92">
        <v>0.86736209490547911</v>
      </c>
      <c r="BO92">
        <v>0.90347800619416496</v>
      </c>
      <c r="BP92">
        <v>0.91943267901221404</v>
      </c>
      <c r="BQ92">
        <v>0.92354457932574585</v>
      </c>
      <c r="BR92">
        <v>0.91228575749804963</v>
      </c>
      <c r="BS92">
        <v>0.9064415489524974</v>
      </c>
      <c r="BT92">
        <v>0.92789225527899633</v>
      </c>
      <c r="BU92">
        <v>0.98926779313218827</v>
      </c>
      <c r="BV92">
        <v>1.0821493943223757</v>
      </c>
      <c r="BW92">
        <v>1.2316738532762896</v>
      </c>
      <c r="BX92">
        <v>1.4607316858565509</v>
      </c>
    </row>
    <row r="93" spans="1:76">
      <c r="A93" t="s">
        <v>214</v>
      </c>
      <c r="B93">
        <v>2008</v>
      </c>
      <c r="C93">
        <v>8</v>
      </c>
      <c r="D93">
        <v>4</v>
      </c>
      <c r="E93">
        <v>9.6333333333333329</v>
      </c>
      <c r="F93">
        <v>3</v>
      </c>
      <c r="G93">
        <v>0.464806</v>
      </c>
      <c r="H93">
        <v>8.9772222027042616</v>
      </c>
      <c r="I93">
        <v>2.5</v>
      </c>
      <c r="J93">
        <v>0.70199366428839338</v>
      </c>
      <c r="K93">
        <v>1.8375955236627053</v>
      </c>
      <c r="L93">
        <v>1.2899804151359315</v>
      </c>
      <c r="M93">
        <v>2.0030412209767805</v>
      </c>
      <c r="N93">
        <v>1.8890554496153058</v>
      </c>
      <c r="O93">
        <v>1.7823254915362303</v>
      </c>
      <c r="P93">
        <v>1.6923604323118193</v>
      </c>
      <c r="Q93">
        <v>1.6046544401217753</v>
      </c>
      <c r="R93">
        <v>1.5224867747183968</v>
      </c>
      <c r="S93">
        <v>1.4555774321849793</v>
      </c>
      <c r="T93">
        <v>1.3919121521015427</v>
      </c>
      <c r="U93">
        <v>1.3286795662867319</v>
      </c>
      <c r="V93">
        <v>1.2553603931225716</v>
      </c>
      <c r="W93">
        <v>1.1820325956455153</v>
      </c>
      <c r="X93">
        <v>1.1205456097523414</v>
      </c>
      <c r="Y93">
        <v>1.0677570060660224</v>
      </c>
      <c r="Z93">
        <v>1.0191980110328007</v>
      </c>
      <c r="AA93">
        <v>0.96976533753189398</v>
      </c>
      <c r="AB93">
        <v>0.92048536670042047</v>
      </c>
      <c r="AC93">
        <v>0.87496169323260287</v>
      </c>
      <c r="AD93">
        <v>0.8355674801856332</v>
      </c>
      <c r="AE93">
        <v>0.79878052578010839</v>
      </c>
      <c r="AF93">
        <v>0.76473526657523516</v>
      </c>
      <c r="AG93">
        <v>0.73493547811160009</v>
      </c>
      <c r="AH93">
        <v>0.70640536841849111</v>
      </c>
      <c r="AI93">
        <v>0.6806746031608516</v>
      </c>
      <c r="AJ93">
        <v>0.65536939322643506</v>
      </c>
      <c r="AK93">
        <v>0.62774348844115502</v>
      </c>
      <c r="AL93">
        <v>0.6022903163790132</v>
      </c>
      <c r="AM93">
        <v>0.58059590414316231</v>
      </c>
      <c r="AN93">
        <v>0.56023146176171124</v>
      </c>
      <c r="AO93">
        <v>0.54227644959273125</v>
      </c>
      <c r="AP93">
        <v>0.52634786112314957</v>
      </c>
      <c r="AQ93">
        <v>0.51036915936810967</v>
      </c>
      <c r="AR93">
        <v>0.49752396386928627</v>
      </c>
      <c r="AS93">
        <v>0.47758776352750992</v>
      </c>
      <c r="AT93">
        <v>0.46578370266832347</v>
      </c>
      <c r="AU93">
        <v>0.45721517182146149</v>
      </c>
      <c r="AV93">
        <v>0.45460417529366126</v>
      </c>
      <c r="AW93">
        <v>0.46141388328688482</v>
      </c>
      <c r="AX93">
        <v>0.47872711224313141</v>
      </c>
      <c r="AY93">
        <v>0.50051122972146023</v>
      </c>
      <c r="AZ93">
        <v>0.52968795242537503</v>
      </c>
      <c r="BA93">
        <v>0.58525654674920757</v>
      </c>
      <c r="BB93">
        <v>0.61805291746844315</v>
      </c>
      <c r="BC93">
        <v>0.6264525546729629</v>
      </c>
      <c r="BD93">
        <v>0.6289974200161621</v>
      </c>
      <c r="BE93">
        <v>0.63573302093533701</v>
      </c>
      <c r="BF93">
        <v>0.63989642541224845</v>
      </c>
      <c r="BG93">
        <v>0.64443276273273509</v>
      </c>
      <c r="BH93">
        <v>0.65134647359080489</v>
      </c>
      <c r="BI93">
        <v>0.65556537368885848</v>
      </c>
      <c r="BJ93">
        <v>0.66676005796443638</v>
      </c>
      <c r="BK93">
        <v>0.68224569848989303</v>
      </c>
      <c r="BL93">
        <v>0.7237797022227912</v>
      </c>
      <c r="BM93">
        <v>0.79159196087842165</v>
      </c>
      <c r="BN93">
        <v>0.84661022749902592</v>
      </c>
      <c r="BO93">
        <v>0.88838447122827691</v>
      </c>
      <c r="BP93">
        <v>0.90542378361756903</v>
      </c>
      <c r="BQ93">
        <v>0.90390165035381487</v>
      </c>
      <c r="BR93">
        <v>0.88125101061476496</v>
      </c>
      <c r="BS93">
        <v>0.86112391304751323</v>
      </c>
      <c r="BT93">
        <v>0.86898615481546249</v>
      </c>
      <c r="BU93">
        <v>0.91643339398154966</v>
      </c>
      <c r="BV93">
        <v>0.99621668456607093</v>
      </c>
      <c r="BW93">
        <v>1.1267032852283396</v>
      </c>
      <c r="BX93">
        <v>1.3299675220192553</v>
      </c>
    </row>
    <row r="94" spans="1:76">
      <c r="A94" t="s">
        <v>215</v>
      </c>
      <c r="B94">
        <v>2008</v>
      </c>
      <c r="C94">
        <v>8</v>
      </c>
      <c r="D94">
        <v>4</v>
      </c>
      <c r="E94">
        <v>9.9333333333333336</v>
      </c>
      <c r="F94">
        <v>3</v>
      </c>
      <c r="G94">
        <v>0.49395699999999998</v>
      </c>
      <c r="H94">
        <v>9.1100153141324451</v>
      </c>
      <c r="I94">
        <v>3.7</v>
      </c>
      <c r="J94">
        <v>0.82861452459900109</v>
      </c>
      <c r="K94">
        <v>1.2309558828250877</v>
      </c>
      <c r="L94">
        <v>1.0199879236494538</v>
      </c>
      <c r="M94">
        <v>2.3196836193300383</v>
      </c>
      <c r="N94">
        <v>2.1944450758730008</v>
      </c>
      <c r="O94">
        <v>2.0771388543205491</v>
      </c>
      <c r="P94">
        <v>1.9771644721133241</v>
      </c>
      <c r="Q94">
        <v>1.8800527793982738</v>
      </c>
      <c r="R94">
        <v>1.7890186778841148</v>
      </c>
      <c r="S94">
        <v>1.7136795573283634</v>
      </c>
      <c r="T94">
        <v>1.6420532144367475</v>
      </c>
      <c r="U94">
        <v>1.5713030529871992</v>
      </c>
      <c r="V94">
        <v>1.4909513202417919</v>
      </c>
      <c r="W94">
        <v>1.4109764386148529</v>
      </c>
      <c r="X94">
        <v>1.3431467861129043</v>
      </c>
      <c r="Y94">
        <v>1.2843001704235415</v>
      </c>
      <c r="Z94">
        <v>1.229967789066629</v>
      </c>
      <c r="AA94">
        <v>1.1750589416815558</v>
      </c>
      <c r="AB94">
        <v>1.1205739765675142</v>
      </c>
      <c r="AC94">
        <v>1.0700697075153547</v>
      </c>
      <c r="AD94">
        <v>1.0258920413693566</v>
      </c>
      <c r="AE94">
        <v>0.98451562091465616</v>
      </c>
      <c r="AF94">
        <v>0.94605236205312848</v>
      </c>
      <c r="AG94">
        <v>0.91197513562666399</v>
      </c>
      <c r="AH94">
        <v>0.87930037799391303</v>
      </c>
      <c r="AI94">
        <v>0.8495342546940885</v>
      </c>
      <c r="AJ94">
        <v>0.82033006607638281</v>
      </c>
      <c r="AK94">
        <v>0.7890255405859411</v>
      </c>
      <c r="AL94">
        <v>0.7599939944274503</v>
      </c>
      <c r="AM94">
        <v>0.73477790494137341</v>
      </c>
      <c r="AN94">
        <v>0.71097215593947372</v>
      </c>
      <c r="AO94">
        <v>0.68963417364327606</v>
      </c>
      <c r="AP94">
        <v>0.67036376167306466</v>
      </c>
      <c r="AQ94">
        <v>0.65109052961467007</v>
      </c>
      <c r="AR94">
        <v>0.6350323735800979</v>
      </c>
      <c r="AS94">
        <v>0.61196518348158113</v>
      </c>
      <c r="AT94">
        <v>0.59706466816183879</v>
      </c>
      <c r="AU94">
        <v>0.58542033744735467</v>
      </c>
      <c r="AV94">
        <v>0.5797827720983495</v>
      </c>
      <c r="AW94">
        <v>0.58361546372672091</v>
      </c>
      <c r="AX94">
        <v>0.59796446016870453</v>
      </c>
      <c r="AY94">
        <v>0.61679942996127046</v>
      </c>
      <c r="AZ94">
        <v>0.64299213070430805</v>
      </c>
      <c r="BA94">
        <v>0.69527919640723068</v>
      </c>
      <c r="BB94">
        <v>0.7250859878108451</v>
      </c>
      <c r="BC94">
        <v>0.73089674190328846</v>
      </c>
      <c r="BD94">
        <v>0.73097515309875227</v>
      </c>
      <c r="BE94">
        <v>0.73521564803016459</v>
      </c>
      <c r="BF94">
        <v>0.73692439474669702</v>
      </c>
      <c r="BG94">
        <v>0.73903319194043648</v>
      </c>
      <c r="BH94">
        <v>0.74352319596583438</v>
      </c>
      <c r="BI94">
        <v>0.74535587059763697</v>
      </c>
      <c r="BJ94">
        <v>0.75410643941971822</v>
      </c>
      <c r="BK94">
        <v>0.76714071081224389</v>
      </c>
      <c r="BL94">
        <v>0.80591993547754914</v>
      </c>
      <c r="BM94">
        <v>0.87073609292698584</v>
      </c>
      <c r="BN94">
        <v>0.92306516690286822</v>
      </c>
      <c r="BO94">
        <v>0.96234433730338287</v>
      </c>
      <c r="BP94">
        <v>0.97706243099563572</v>
      </c>
      <c r="BQ94">
        <v>0.97325104629029791</v>
      </c>
      <c r="BR94">
        <v>0.94840605266980949</v>
      </c>
      <c r="BS94">
        <v>0.92597454299955462</v>
      </c>
      <c r="BT94">
        <v>0.93122168267604899</v>
      </c>
      <c r="BU94">
        <v>0.97556239260579614</v>
      </c>
      <c r="BV94">
        <v>1.0518678619327249</v>
      </c>
      <c r="BW94">
        <v>1.1780532995022399</v>
      </c>
      <c r="BX94">
        <v>1.375887317086179</v>
      </c>
    </row>
    <row r="95" spans="1:76">
      <c r="A95" t="s">
        <v>216</v>
      </c>
      <c r="B95">
        <v>2008</v>
      </c>
      <c r="C95">
        <v>8</v>
      </c>
      <c r="D95">
        <v>4</v>
      </c>
      <c r="E95">
        <v>10.1</v>
      </c>
      <c r="F95">
        <v>3</v>
      </c>
      <c r="G95">
        <v>0.47317199999999998</v>
      </c>
      <c r="H95">
        <v>7.858588723704651</v>
      </c>
      <c r="I95">
        <v>2.9</v>
      </c>
      <c r="J95">
        <v>0.72603622319110717</v>
      </c>
      <c r="K95">
        <v>1.5821967063762483</v>
      </c>
      <c r="L95">
        <v>1.1487321210428205</v>
      </c>
      <c r="M95">
        <v>2.0490875718046513</v>
      </c>
      <c r="N95">
        <v>1.9330451466223204</v>
      </c>
      <c r="O95">
        <v>1.8246645342435623</v>
      </c>
      <c r="P95">
        <v>1.732249389506803</v>
      </c>
      <c r="Q95">
        <v>1.6428335431561747</v>
      </c>
      <c r="R95">
        <v>1.5592317022140076</v>
      </c>
      <c r="S95">
        <v>1.4899618828112995</v>
      </c>
      <c r="T95">
        <v>1.4243177414901316</v>
      </c>
      <c r="U95">
        <v>1.3597943783910944</v>
      </c>
      <c r="V95">
        <v>1.2869626143071469</v>
      </c>
      <c r="W95">
        <v>1.2147349509953533</v>
      </c>
      <c r="X95">
        <v>1.1533909843772534</v>
      </c>
      <c r="Y95">
        <v>1.1002077464955773</v>
      </c>
      <c r="Z95">
        <v>1.0512173289523588</v>
      </c>
      <c r="AA95">
        <v>1.001854590534681</v>
      </c>
      <c r="AB95">
        <v>0.95302205215328262</v>
      </c>
      <c r="AC95">
        <v>0.90789392130568169</v>
      </c>
      <c r="AD95">
        <v>0.8684567816181008</v>
      </c>
      <c r="AE95">
        <v>0.83164907309874292</v>
      </c>
      <c r="AF95">
        <v>0.7976197166272383</v>
      </c>
      <c r="AG95">
        <v>0.76766245658720389</v>
      </c>
      <c r="AH95">
        <v>0.73923727812401518</v>
      </c>
      <c r="AI95">
        <v>0.71366047593520565</v>
      </c>
      <c r="AJ95">
        <v>0.68866231210285167</v>
      </c>
      <c r="AK95">
        <v>0.6611379578124057</v>
      </c>
      <c r="AL95">
        <v>0.63562451710722989</v>
      </c>
      <c r="AM95">
        <v>0.61367592356521516</v>
      </c>
      <c r="AN95">
        <v>0.59304623642929166</v>
      </c>
      <c r="AO95">
        <v>0.57471356607479707</v>
      </c>
      <c r="AP95">
        <v>0.5584411282450743</v>
      </c>
      <c r="AQ95">
        <v>0.5424026004851219</v>
      </c>
      <c r="AR95">
        <v>0.52901495837686607</v>
      </c>
      <c r="AS95">
        <v>0.50925993683454029</v>
      </c>
      <c r="AT95">
        <v>0.49686692925716619</v>
      </c>
      <c r="AU95">
        <v>0.48778904072764345</v>
      </c>
      <c r="AV95">
        <v>0.48440564784329565</v>
      </c>
      <c r="AW95">
        <v>0.49007801665729295</v>
      </c>
      <c r="AX95">
        <v>0.5061064354154774</v>
      </c>
      <c r="AY95">
        <v>0.52665655658981647</v>
      </c>
      <c r="AZ95">
        <v>0.55454553918441518</v>
      </c>
      <c r="BA95">
        <v>0.60834132227776194</v>
      </c>
      <c r="BB95">
        <v>0.63946222325188773</v>
      </c>
      <c r="BC95">
        <v>0.64632615319995745</v>
      </c>
      <c r="BD95">
        <v>0.64746516475153548</v>
      </c>
      <c r="BE95">
        <v>0.65280988481252866</v>
      </c>
      <c r="BF95">
        <v>0.65591530174196311</v>
      </c>
      <c r="BG95">
        <v>0.65940966158306735</v>
      </c>
      <c r="BH95">
        <v>0.66518632927787369</v>
      </c>
      <c r="BI95">
        <v>0.66858810394482093</v>
      </c>
      <c r="BJ95">
        <v>0.67869577147621007</v>
      </c>
      <c r="BK95">
        <v>0.69271442105800574</v>
      </c>
      <c r="BL95">
        <v>0.73150226652365347</v>
      </c>
      <c r="BM95">
        <v>0.79443961402158103</v>
      </c>
      <c r="BN95">
        <v>0.84399264410304942</v>
      </c>
      <c r="BO95">
        <v>0.88087606907969562</v>
      </c>
      <c r="BP95">
        <v>0.89569717103651902</v>
      </c>
      <c r="BQ95">
        <v>0.89486729716296554</v>
      </c>
      <c r="BR95">
        <v>0.87571199722603965</v>
      </c>
      <c r="BS95">
        <v>0.85972448105245869</v>
      </c>
      <c r="BT95">
        <v>0.86991712736922933</v>
      </c>
      <c r="BU95">
        <v>0.9174947109135051</v>
      </c>
      <c r="BV95">
        <v>0.99530414903179942</v>
      </c>
      <c r="BW95">
        <v>1.1224964770215489</v>
      </c>
      <c r="BX95">
        <v>1.3200884656619614</v>
      </c>
    </row>
    <row r="96" spans="1:76">
      <c r="A96" t="s">
        <v>217</v>
      </c>
      <c r="B96">
        <v>2008</v>
      </c>
      <c r="C96">
        <v>8</v>
      </c>
      <c r="D96">
        <v>4</v>
      </c>
      <c r="E96">
        <v>10.3</v>
      </c>
      <c r="F96">
        <v>3</v>
      </c>
      <c r="G96">
        <v>0.39546999999999999</v>
      </c>
      <c r="H96">
        <v>7.9583473638973778</v>
      </c>
      <c r="I96">
        <v>2.6</v>
      </c>
      <c r="J96">
        <v>0.67709123418483053</v>
      </c>
      <c r="K96">
        <v>1.7693004055078208</v>
      </c>
      <c r="L96">
        <v>1.1979777952090114</v>
      </c>
      <c r="M96">
        <v>1.776839628354661</v>
      </c>
      <c r="N96">
        <v>1.6810025079377684</v>
      </c>
      <c r="O96">
        <v>1.5910733497707987</v>
      </c>
      <c r="P96">
        <v>1.5154990733986822</v>
      </c>
      <c r="Q96">
        <v>1.4414803272804391</v>
      </c>
      <c r="R96">
        <v>1.3719570615723158</v>
      </c>
      <c r="S96">
        <v>1.3155486289775278</v>
      </c>
      <c r="T96">
        <v>1.2616742929336908</v>
      </c>
      <c r="U96">
        <v>1.2079252245051224</v>
      </c>
      <c r="V96">
        <v>1.1449831892394373</v>
      </c>
      <c r="W96">
        <v>1.0818155972174039</v>
      </c>
      <c r="X96">
        <v>1.0287744374003303</v>
      </c>
      <c r="Y96">
        <v>0.98319848100593799</v>
      </c>
      <c r="Z96">
        <v>0.94118308998751299</v>
      </c>
      <c r="AA96">
        <v>0.89822149769344417</v>
      </c>
      <c r="AB96">
        <v>0.85526043227314763</v>
      </c>
      <c r="AC96">
        <v>0.8155154256751227</v>
      </c>
      <c r="AD96">
        <v>0.781028295935283</v>
      </c>
      <c r="AE96">
        <v>0.74876833979613111</v>
      </c>
      <c r="AF96">
        <v>0.71891760595212495</v>
      </c>
      <c r="AG96">
        <v>0.69281024606361163</v>
      </c>
      <c r="AH96">
        <v>0.6679195037555119</v>
      </c>
      <c r="AI96">
        <v>0.64559843148879881</v>
      </c>
      <c r="AJ96">
        <v>0.6236095942660892</v>
      </c>
      <c r="AK96">
        <v>0.59891981968654906</v>
      </c>
      <c r="AL96">
        <v>0.57605200968795767</v>
      </c>
      <c r="AM96">
        <v>0.55657481837956446</v>
      </c>
      <c r="AN96">
        <v>0.53825644438380449</v>
      </c>
      <c r="AO96">
        <v>0.52209353165893491</v>
      </c>
      <c r="AP96">
        <v>0.50785013947734781</v>
      </c>
      <c r="AQ96">
        <v>0.49369907873605384</v>
      </c>
      <c r="AR96">
        <v>0.48211993149358101</v>
      </c>
      <c r="AS96">
        <v>0.46405772585556349</v>
      </c>
      <c r="AT96">
        <v>0.45328877702801995</v>
      </c>
      <c r="AU96">
        <v>0.44571906812303541</v>
      </c>
      <c r="AV96">
        <v>0.44373583112606829</v>
      </c>
      <c r="AW96">
        <v>0.45066645401085736</v>
      </c>
      <c r="AX96">
        <v>0.46776021862274697</v>
      </c>
      <c r="AY96">
        <v>0.48922285612759042</v>
      </c>
      <c r="AZ96">
        <v>0.51785201622185872</v>
      </c>
      <c r="BA96">
        <v>0.57201774622367929</v>
      </c>
      <c r="BB96">
        <v>0.60373068655544204</v>
      </c>
      <c r="BC96">
        <v>0.61144753667951235</v>
      </c>
      <c r="BD96">
        <v>0.61346464276885437</v>
      </c>
      <c r="BE96">
        <v>0.61959413555751053</v>
      </c>
      <c r="BF96">
        <v>0.62345242673012358</v>
      </c>
      <c r="BG96">
        <v>0.62766329967749623</v>
      </c>
      <c r="BH96">
        <v>0.63410693948819041</v>
      </c>
      <c r="BI96">
        <v>0.63815492304611066</v>
      </c>
      <c r="BJ96">
        <v>0.64882096179306203</v>
      </c>
      <c r="BK96">
        <v>0.66335829772408705</v>
      </c>
      <c r="BL96">
        <v>0.70242415785297585</v>
      </c>
      <c r="BM96">
        <v>0.76549046697729117</v>
      </c>
      <c r="BN96">
        <v>0.8153925427997929</v>
      </c>
      <c r="BO96">
        <v>0.85272952346229303</v>
      </c>
      <c r="BP96">
        <v>0.86804780160475492</v>
      </c>
      <c r="BQ96">
        <v>0.86765521478300289</v>
      </c>
      <c r="BR96">
        <v>0.84892445243233206</v>
      </c>
      <c r="BS96">
        <v>0.83325330144599508</v>
      </c>
      <c r="BT96">
        <v>0.84356549569822781</v>
      </c>
      <c r="BU96">
        <v>0.89095332001352445</v>
      </c>
      <c r="BV96">
        <v>0.96835160279017929</v>
      </c>
      <c r="BW96">
        <v>1.0945914738321729</v>
      </c>
      <c r="BX96">
        <v>1.2905060428329425</v>
      </c>
    </row>
    <row r="97" spans="1:76">
      <c r="A97" t="s">
        <v>218</v>
      </c>
      <c r="B97">
        <v>2008</v>
      </c>
      <c r="C97">
        <v>8</v>
      </c>
      <c r="D97">
        <v>4</v>
      </c>
      <c r="E97">
        <v>10.516666666666667</v>
      </c>
      <c r="F97">
        <v>3</v>
      </c>
      <c r="G97">
        <v>0.44738800000000001</v>
      </c>
      <c r="H97">
        <v>8.3238757949915971</v>
      </c>
      <c r="I97">
        <v>2.8</v>
      </c>
      <c r="J97">
        <v>0.7056418873227629</v>
      </c>
      <c r="K97">
        <v>1.6429521646551324</v>
      </c>
      <c r="L97">
        <v>1.1593358662482662</v>
      </c>
      <c r="M97">
        <v>1.9356588267621768</v>
      </c>
      <c r="N97">
        <v>1.8286897352665163</v>
      </c>
      <c r="O97">
        <v>1.728531286268068</v>
      </c>
      <c r="P97">
        <v>1.6437417405280694</v>
      </c>
      <c r="Q97">
        <v>1.5611965786210675</v>
      </c>
      <c r="R97">
        <v>1.4838411847542539</v>
      </c>
      <c r="S97">
        <v>1.4204224474165397</v>
      </c>
      <c r="T97">
        <v>1.3600886272675279</v>
      </c>
      <c r="U97">
        <v>1.3003190094536716</v>
      </c>
      <c r="V97">
        <v>1.2315861808599906</v>
      </c>
      <c r="W97">
        <v>1.1629901222943886</v>
      </c>
      <c r="X97">
        <v>1.1051211643381966</v>
      </c>
      <c r="Y97">
        <v>1.0551945293466485</v>
      </c>
      <c r="Z97">
        <v>1.0091866889159908</v>
      </c>
      <c r="AA97">
        <v>0.96247897521314152</v>
      </c>
      <c r="AB97">
        <v>0.91600899772847533</v>
      </c>
      <c r="AC97">
        <v>0.87302733347897443</v>
      </c>
      <c r="AD97">
        <v>0.83562266852915035</v>
      </c>
      <c r="AE97">
        <v>0.80065714346204686</v>
      </c>
      <c r="AF97">
        <v>0.76828140707240244</v>
      </c>
      <c r="AG97">
        <v>0.73983819781888527</v>
      </c>
      <c r="AH97">
        <v>0.71269688782644147</v>
      </c>
      <c r="AI97">
        <v>0.68822909996014081</v>
      </c>
      <c r="AJ97">
        <v>0.66420283519833312</v>
      </c>
      <c r="AK97">
        <v>0.63775253614420857</v>
      </c>
      <c r="AL97">
        <v>0.61326418298732854</v>
      </c>
      <c r="AM97">
        <v>0.59226515401058943</v>
      </c>
      <c r="AN97">
        <v>0.57251084563586718</v>
      </c>
      <c r="AO97">
        <v>0.55499374299795257</v>
      </c>
      <c r="AP97">
        <v>0.53942677259728766</v>
      </c>
      <c r="AQ97">
        <v>0.52394074958723402</v>
      </c>
      <c r="AR97">
        <v>0.51120152088568727</v>
      </c>
      <c r="AS97">
        <v>0.491950685063968</v>
      </c>
      <c r="AT97">
        <v>0.48014787264524172</v>
      </c>
      <c r="AU97">
        <v>0.47151756263655986</v>
      </c>
      <c r="AV97">
        <v>0.46851604522117946</v>
      </c>
      <c r="AW97">
        <v>0.47445136370453689</v>
      </c>
      <c r="AX97">
        <v>0.49048572277564595</v>
      </c>
      <c r="AY97">
        <v>0.51085573415364394</v>
      </c>
      <c r="AZ97">
        <v>0.53833033166086508</v>
      </c>
      <c r="BA97">
        <v>0.59106148215883125</v>
      </c>
      <c r="BB97">
        <v>0.62174302961734518</v>
      </c>
      <c r="BC97">
        <v>0.62886562770924215</v>
      </c>
      <c r="BD97">
        <v>0.63038489141290266</v>
      </c>
      <c r="BE97">
        <v>0.63596126536936282</v>
      </c>
      <c r="BF97">
        <v>0.63922906029514104</v>
      </c>
      <c r="BG97">
        <v>0.6428603096686144</v>
      </c>
      <c r="BH97">
        <v>0.64873240293749057</v>
      </c>
      <c r="BI97">
        <v>0.65217223654408429</v>
      </c>
      <c r="BJ97">
        <v>0.66220769330481044</v>
      </c>
      <c r="BK97">
        <v>0.67617445244230767</v>
      </c>
      <c r="BL97">
        <v>0.71460463274366659</v>
      </c>
      <c r="BM97">
        <v>0.77723997776310472</v>
      </c>
      <c r="BN97">
        <v>0.82716406025264311</v>
      </c>
      <c r="BO97">
        <v>0.86459845653307843</v>
      </c>
      <c r="BP97">
        <v>0.87961563819082222</v>
      </c>
      <c r="BQ97">
        <v>0.87832577581493132</v>
      </c>
      <c r="BR97">
        <v>0.85818899953836014</v>
      </c>
      <c r="BS97">
        <v>0.8408556502570711</v>
      </c>
      <c r="BT97">
        <v>0.84956739717077323</v>
      </c>
      <c r="BU97">
        <v>0.89531782863207299</v>
      </c>
      <c r="BV97">
        <v>0.97114906232514131</v>
      </c>
      <c r="BW97">
        <v>1.0952688129376476</v>
      </c>
      <c r="BX97">
        <v>1.2884278131564435</v>
      </c>
    </row>
    <row r="98" spans="1:76">
      <c r="A98" t="s">
        <v>224</v>
      </c>
      <c r="B98">
        <v>2008</v>
      </c>
      <c r="C98">
        <v>8</v>
      </c>
      <c r="D98">
        <v>4</v>
      </c>
      <c r="E98">
        <v>11.483333333333333</v>
      </c>
      <c r="F98">
        <v>3</v>
      </c>
      <c r="G98">
        <v>0.47135899999999997</v>
      </c>
      <c r="H98">
        <v>11.430225893607584</v>
      </c>
      <c r="I98">
        <v>3.9</v>
      </c>
      <c r="J98">
        <v>0.82930742767018462</v>
      </c>
      <c r="K98">
        <v>1.1733751597720934</v>
      </c>
      <c r="L98">
        <v>0.9730887354426867</v>
      </c>
      <c r="M98">
        <v>2.2126523563714926</v>
      </c>
      <c r="N98">
        <v>2.101543637726794</v>
      </c>
      <c r="O98">
        <v>1.9967565602564892</v>
      </c>
      <c r="P98">
        <v>1.908784293619604</v>
      </c>
      <c r="Q98">
        <v>1.8220603517331675</v>
      </c>
      <c r="R98">
        <v>1.7402774353985058</v>
      </c>
      <c r="S98">
        <v>1.674086735184237</v>
      </c>
      <c r="T98">
        <v>1.610546832949419</v>
      </c>
      <c r="U98">
        <v>1.5465985554927708</v>
      </c>
      <c r="V98">
        <v>1.471049615404888</v>
      </c>
      <c r="W98">
        <v>1.3947879108182946</v>
      </c>
      <c r="X98">
        <v>1.3310434553781012</v>
      </c>
      <c r="Y98">
        <v>1.2762622192200646</v>
      </c>
      <c r="Z98">
        <v>1.2255915767069401</v>
      </c>
      <c r="AA98">
        <v>1.1735635684297463</v>
      </c>
      <c r="AB98">
        <v>1.1212953476675309</v>
      </c>
      <c r="AC98">
        <v>1.0726864622760002</v>
      </c>
      <c r="AD98">
        <v>1.0305052169288844</v>
      </c>
      <c r="AE98">
        <v>0.99080200128070683</v>
      </c>
      <c r="AF98">
        <v>0.9536582064721022</v>
      </c>
      <c r="AG98">
        <v>0.92073867590901082</v>
      </c>
      <c r="AH98">
        <v>0.88860398297428755</v>
      </c>
      <c r="AI98">
        <v>0.8589818537549796</v>
      </c>
      <c r="AJ98">
        <v>0.82962260748608418</v>
      </c>
      <c r="AK98">
        <v>0.79880604101135799</v>
      </c>
      <c r="AL98">
        <v>0.77030813304123102</v>
      </c>
      <c r="AM98">
        <v>0.74555363048893386</v>
      </c>
      <c r="AN98">
        <v>0.72209416094971823</v>
      </c>
      <c r="AO98">
        <v>0.70104137595319993</v>
      </c>
      <c r="AP98">
        <v>0.68176698362777866</v>
      </c>
      <c r="AQ98">
        <v>0.66198483023689381</v>
      </c>
      <c r="AR98">
        <v>0.64597480029640475</v>
      </c>
      <c r="AS98">
        <v>0.62237305609851079</v>
      </c>
      <c r="AT98">
        <v>0.60749897600250757</v>
      </c>
      <c r="AU98">
        <v>0.59542609215979947</v>
      </c>
      <c r="AV98">
        <v>0.58927293475633225</v>
      </c>
      <c r="AW98">
        <v>0.59235452683156209</v>
      </c>
      <c r="AX98">
        <v>0.60518006722399198</v>
      </c>
      <c r="AY98">
        <v>0.62191195729786108</v>
      </c>
      <c r="AZ98">
        <v>0.64526703614160819</v>
      </c>
      <c r="BA98">
        <v>0.69260761808133808</v>
      </c>
      <c r="BB98">
        <v>0.71970636413092792</v>
      </c>
      <c r="BC98">
        <v>0.72530410339187945</v>
      </c>
      <c r="BD98">
        <v>0.72561058441639326</v>
      </c>
      <c r="BE98">
        <v>0.72958549290933772</v>
      </c>
      <c r="BF98">
        <v>0.7307263821271972</v>
      </c>
      <c r="BG98">
        <v>0.73220553179367598</v>
      </c>
      <c r="BH98">
        <v>0.73597481990347358</v>
      </c>
      <c r="BI98">
        <v>0.73682209279436561</v>
      </c>
      <c r="BJ98">
        <v>0.74429326693673892</v>
      </c>
      <c r="BK98">
        <v>0.7562466610357258</v>
      </c>
      <c r="BL98">
        <v>0.79321469920184051</v>
      </c>
      <c r="BM98">
        <v>0.85699530586709816</v>
      </c>
      <c r="BN98">
        <v>0.91086744302174782</v>
      </c>
      <c r="BO98">
        <v>0.95219723837297199</v>
      </c>
      <c r="BP98">
        <v>0.96700244249011957</v>
      </c>
      <c r="BQ98">
        <v>0.96016990483735254</v>
      </c>
      <c r="BR98">
        <v>0.92970591745478282</v>
      </c>
      <c r="BS98">
        <v>0.90018758620736883</v>
      </c>
      <c r="BT98">
        <v>0.89834839884276541</v>
      </c>
      <c r="BU98">
        <v>0.93494592127305631</v>
      </c>
      <c r="BV98">
        <v>1.003524243764671</v>
      </c>
      <c r="BW98">
        <v>1.1183984262985203</v>
      </c>
      <c r="BX98">
        <v>1.3006560377167105</v>
      </c>
    </row>
    <row r="99" spans="1:76">
      <c r="A99" t="s">
        <v>225</v>
      </c>
      <c r="B99">
        <v>2008</v>
      </c>
      <c r="C99">
        <v>8</v>
      </c>
      <c r="D99">
        <v>4</v>
      </c>
      <c r="E99">
        <v>12</v>
      </c>
      <c r="F99">
        <v>3</v>
      </c>
      <c r="G99">
        <v>0.610429</v>
      </c>
      <c r="H99">
        <v>8.9242703285661005</v>
      </c>
      <c r="I99">
        <v>2.2000000000000002</v>
      </c>
      <c r="J99">
        <v>0.65060623371986559</v>
      </c>
      <c r="K99">
        <v>2.1063865938087876</v>
      </c>
      <c r="L99">
        <v>1.3704282485559516</v>
      </c>
      <c r="M99">
        <v>2.1089753078417197</v>
      </c>
      <c r="N99">
        <v>1.9765946747554182</v>
      </c>
      <c r="O99">
        <v>1.8535259733822114</v>
      </c>
      <c r="P99">
        <v>1.7480943263576845</v>
      </c>
      <c r="Q99">
        <v>1.646980335573204</v>
      </c>
      <c r="R99">
        <v>1.5529390139038111</v>
      </c>
      <c r="S99">
        <v>1.4745296568753656</v>
      </c>
      <c r="T99">
        <v>1.4007489340981252</v>
      </c>
      <c r="U99">
        <v>1.3289072026139559</v>
      </c>
      <c r="V99">
        <v>1.2493985977421094</v>
      </c>
      <c r="W99">
        <v>1.1711601393732045</v>
      </c>
      <c r="X99">
        <v>1.1047469620460746</v>
      </c>
      <c r="Y99">
        <v>1.0472235902531604</v>
      </c>
      <c r="Z99">
        <v>0.99446697546196139</v>
      </c>
      <c r="AA99">
        <v>0.94179266979476817</v>
      </c>
      <c r="AB99">
        <v>0.89005996765376771</v>
      </c>
      <c r="AC99">
        <v>0.84243246443499065</v>
      </c>
      <c r="AD99">
        <v>0.80097287823733132</v>
      </c>
      <c r="AE99">
        <v>0.76245344578559082</v>
      </c>
      <c r="AF99">
        <v>0.72695133334866935</v>
      </c>
      <c r="AG99">
        <v>0.69575208656691023</v>
      </c>
      <c r="AH99">
        <v>0.66612991024400259</v>
      </c>
      <c r="AI99">
        <v>0.63942327571692426</v>
      </c>
      <c r="AJ99">
        <v>0.6134692055513904</v>
      </c>
      <c r="AK99">
        <v>0.58573630808342825</v>
      </c>
      <c r="AL99">
        <v>0.56024251888399257</v>
      </c>
      <c r="AM99">
        <v>0.53838138834318128</v>
      </c>
      <c r="AN99">
        <v>0.51795994160675596</v>
      </c>
      <c r="AO99">
        <v>0.49990914928229302</v>
      </c>
      <c r="AP99">
        <v>0.48385889178635688</v>
      </c>
      <c r="AQ99">
        <v>0.46794674631216804</v>
      </c>
      <c r="AR99">
        <v>0.45499600422573294</v>
      </c>
      <c r="AS99">
        <v>0.43584260476497766</v>
      </c>
      <c r="AT99">
        <v>0.42409202668395291</v>
      </c>
      <c r="AU99">
        <v>0.41537056792790178</v>
      </c>
      <c r="AV99">
        <v>0.41210730292459108</v>
      </c>
      <c r="AW99">
        <v>0.41742051337355573</v>
      </c>
      <c r="AX99">
        <v>0.43231157134252363</v>
      </c>
      <c r="AY99">
        <v>0.4513563502095142</v>
      </c>
      <c r="AZ99">
        <v>0.47718716128905247</v>
      </c>
      <c r="BA99">
        <v>0.52698164672140391</v>
      </c>
      <c r="BB99">
        <v>0.55625916652758456</v>
      </c>
      <c r="BC99">
        <v>0.56350799493035875</v>
      </c>
      <c r="BD99">
        <v>0.56550686654177795</v>
      </c>
      <c r="BE99">
        <v>0.57134498787216137</v>
      </c>
      <c r="BF99">
        <v>0.57490534264335269</v>
      </c>
      <c r="BG99">
        <v>0.5788382896325166</v>
      </c>
      <c r="BH99">
        <v>0.58495174790907312</v>
      </c>
      <c r="BI99">
        <v>0.58866462392695873</v>
      </c>
      <c r="BJ99">
        <v>0.5987215106740702</v>
      </c>
      <c r="BK99">
        <v>0.61267269686972081</v>
      </c>
      <c r="BL99">
        <v>0.65017481267835608</v>
      </c>
      <c r="BM99">
        <v>0.7114202506611691</v>
      </c>
      <c r="BN99">
        <v>0.76108262487493938</v>
      </c>
      <c r="BO99">
        <v>0.79878085497557527</v>
      </c>
      <c r="BP99">
        <v>0.81417869928860931</v>
      </c>
      <c r="BQ99">
        <v>0.81289013689195411</v>
      </c>
      <c r="BR99">
        <v>0.79259274650036637</v>
      </c>
      <c r="BS99">
        <v>0.77461889302063158</v>
      </c>
      <c r="BT99">
        <v>0.7819422063712802</v>
      </c>
      <c r="BU99">
        <v>0.82505469019379207</v>
      </c>
      <c r="BV99">
        <v>0.89739006366181595</v>
      </c>
      <c r="BW99">
        <v>1.0156286678469257</v>
      </c>
      <c r="BX99">
        <v>1.1997312215348568</v>
      </c>
    </row>
    <row r="100" spans="1:76">
      <c r="A100" t="s">
        <v>219</v>
      </c>
      <c r="B100">
        <v>2008</v>
      </c>
      <c r="C100">
        <v>8</v>
      </c>
      <c r="D100">
        <v>4</v>
      </c>
      <c r="E100">
        <v>12.816666666666666</v>
      </c>
      <c r="F100">
        <v>3</v>
      </c>
      <c r="G100">
        <v>0.53747</v>
      </c>
      <c r="H100">
        <v>6.2722910369902447</v>
      </c>
      <c r="I100">
        <v>2.1</v>
      </c>
      <c r="J100">
        <v>0.61696844435306364</v>
      </c>
      <c r="K100">
        <v>2.2038581332139011</v>
      </c>
      <c r="L100">
        <v>1.3597109240238274</v>
      </c>
      <c r="M100">
        <v>1.9126778834014213</v>
      </c>
      <c r="N100">
        <v>1.7913194063939621</v>
      </c>
      <c r="O100">
        <v>1.6788527126887569</v>
      </c>
      <c r="P100">
        <v>1.5817289368097494</v>
      </c>
      <c r="Q100">
        <v>1.4892004126298475</v>
      </c>
      <c r="R100">
        <v>1.4033387654365677</v>
      </c>
      <c r="S100">
        <v>1.3308307331983626</v>
      </c>
      <c r="T100">
        <v>1.2628605873886982</v>
      </c>
      <c r="U100">
        <v>1.1973307688543302</v>
      </c>
      <c r="V100">
        <v>1.126398164170233</v>
      </c>
      <c r="W100">
        <v>1.0572091148277125</v>
      </c>
      <c r="X100">
        <v>0.99770626808365614</v>
      </c>
      <c r="Y100">
        <v>0.94575014457336082</v>
      </c>
      <c r="Z100">
        <v>0.89808790880891542</v>
      </c>
      <c r="AA100">
        <v>0.85093212566293053</v>
      </c>
      <c r="AB100">
        <v>0.80498264868015124</v>
      </c>
      <c r="AC100">
        <v>0.76275915191353216</v>
      </c>
      <c r="AD100">
        <v>0.72567020066868504</v>
      </c>
      <c r="AE100">
        <v>0.69131691920641436</v>
      </c>
      <c r="AF100">
        <v>0.65985530690627014</v>
      </c>
      <c r="AG100">
        <v>0.63225752146864</v>
      </c>
      <c r="AH100">
        <v>0.60661169756210187</v>
      </c>
      <c r="AI100">
        <v>0.58391189253902798</v>
      </c>
      <c r="AJ100">
        <v>0.5620593782766774</v>
      </c>
      <c r="AK100">
        <v>0.53749580343836745</v>
      </c>
      <c r="AL100">
        <v>0.51474650350561657</v>
      </c>
      <c r="AM100">
        <v>0.49528376099819066</v>
      </c>
      <c r="AN100">
        <v>0.47714912837462881</v>
      </c>
      <c r="AO100">
        <v>0.46115005465115622</v>
      </c>
      <c r="AP100">
        <v>0.44724615163808173</v>
      </c>
      <c r="AQ100">
        <v>0.43399726613000533</v>
      </c>
      <c r="AR100">
        <v>0.42268227328380137</v>
      </c>
      <c r="AS100">
        <v>0.40621919549067237</v>
      </c>
      <c r="AT100">
        <v>0.39584923965232055</v>
      </c>
      <c r="AU100">
        <v>0.3888040395665241</v>
      </c>
      <c r="AV100">
        <v>0.38688569240319404</v>
      </c>
      <c r="AW100">
        <v>0.39318988411946754</v>
      </c>
      <c r="AX100">
        <v>0.4093092975049511</v>
      </c>
      <c r="AY100">
        <v>0.42992441031267414</v>
      </c>
      <c r="AZ100">
        <v>0.45767165084516948</v>
      </c>
      <c r="BA100">
        <v>0.51019920393845331</v>
      </c>
      <c r="BB100">
        <v>0.54077295554326299</v>
      </c>
      <c r="BC100">
        <v>0.54773202524535081</v>
      </c>
      <c r="BD100">
        <v>0.54923392167372931</v>
      </c>
      <c r="BE100">
        <v>0.55487925360199253</v>
      </c>
      <c r="BF100">
        <v>0.55877361879070042</v>
      </c>
      <c r="BG100">
        <v>0.56306142814957127</v>
      </c>
      <c r="BH100">
        <v>0.56945249283164656</v>
      </c>
      <c r="BI100">
        <v>0.57393993351884764</v>
      </c>
      <c r="BJ100">
        <v>0.5846475651401466</v>
      </c>
      <c r="BK100">
        <v>0.59867515635198432</v>
      </c>
      <c r="BL100">
        <v>0.6353423265213678</v>
      </c>
      <c r="BM100">
        <v>0.69290695164330951</v>
      </c>
      <c r="BN100">
        <v>0.73647118103316545</v>
      </c>
      <c r="BO100">
        <v>0.7683270134758482</v>
      </c>
      <c r="BP100">
        <v>0.78209701461295089</v>
      </c>
      <c r="BQ100">
        <v>0.78443880832028534</v>
      </c>
      <c r="BR100">
        <v>0.77256372321904432</v>
      </c>
      <c r="BS100">
        <v>0.76470188897164038</v>
      </c>
      <c r="BT100">
        <v>0.78017470126941701</v>
      </c>
      <c r="BU100">
        <v>0.82950952162369418</v>
      </c>
      <c r="BV100">
        <v>0.90578433053716545</v>
      </c>
      <c r="BW100">
        <v>1.0290043198314702</v>
      </c>
      <c r="BX100">
        <v>1.218462936157076</v>
      </c>
    </row>
    <row r="101" spans="1:76">
      <c r="A101" t="s">
        <v>220</v>
      </c>
      <c r="B101">
        <v>2008</v>
      </c>
      <c r="C101">
        <v>8</v>
      </c>
      <c r="D101">
        <v>4</v>
      </c>
      <c r="E101">
        <v>13.133333333333333</v>
      </c>
      <c r="F101">
        <v>3</v>
      </c>
      <c r="G101">
        <v>0.45477200000000001</v>
      </c>
      <c r="H101">
        <v>7.8504576022194454</v>
      </c>
      <c r="I101">
        <v>1.8</v>
      </c>
      <c r="J101">
        <v>0.59057302394450628</v>
      </c>
      <c r="K101">
        <v>2.5640205810938159</v>
      </c>
      <c r="L101">
        <v>1.5142413880325249</v>
      </c>
      <c r="M101">
        <v>1.7060695762286935</v>
      </c>
      <c r="N101">
        <v>1.6036100335953398</v>
      </c>
      <c r="O101">
        <v>1.5079878671761349</v>
      </c>
      <c r="P101">
        <v>1.4272676166872071</v>
      </c>
      <c r="Q101">
        <v>1.3489625795477873</v>
      </c>
      <c r="R101">
        <v>1.275830023826223</v>
      </c>
      <c r="S101">
        <v>1.2161249361493127</v>
      </c>
      <c r="T101">
        <v>1.1595380741032981</v>
      </c>
      <c r="U101">
        <v>1.1036782521281978</v>
      </c>
      <c r="V101">
        <v>1.0394705726487425</v>
      </c>
      <c r="W101">
        <v>0.97553762001838307</v>
      </c>
      <c r="X101">
        <v>0.9218280146047606</v>
      </c>
      <c r="Y101">
        <v>0.87573353632021556</v>
      </c>
      <c r="Z101">
        <v>0.83344067866519067</v>
      </c>
      <c r="AA101">
        <v>0.79055558914228474</v>
      </c>
      <c r="AB101">
        <v>0.7479690455434459</v>
      </c>
      <c r="AC101">
        <v>0.70876095826483854</v>
      </c>
      <c r="AD101">
        <v>0.67486796701232166</v>
      </c>
      <c r="AE101">
        <v>0.64334647255539634</v>
      </c>
      <c r="AF101">
        <v>0.61435881695633432</v>
      </c>
      <c r="AG101">
        <v>0.58916714350663979</v>
      </c>
      <c r="AH101">
        <v>0.56532543190242435</v>
      </c>
      <c r="AI101">
        <v>0.54412121556124526</v>
      </c>
      <c r="AJ101">
        <v>0.5233720550339902</v>
      </c>
      <c r="AK101">
        <v>0.5000821655017067</v>
      </c>
      <c r="AL101">
        <v>0.47865232530985136</v>
      </c>
      <c r="AM101">
        <v>0.46058958087266588</v>
      </c>
      <c r="AN101">
        <v>0.44373350711745474</v>
      </c>
      <c r="AO101">
        <v>0.42902710333354116</v>
      </c>
      <c r="AP101">
        <v>0.41624022965066354</v>
      </c>
      <c r="AQ101">
        <v>0.4036233930325932</v>
      </c>
      <c r="AR101">
        <v>0.39349432849625432</v>
      </c>
      <c r="AS101">
        <v>0.37723105187298794</v>
      </c>
      <c r="AT101">
        <v>0.3679600526708835</v>
      </c>
      <c r="AU101">
        <v>0.3617991738359454</v>
      </c>
      <c r="AV101">
        <v>0.36099885325985615</v>
      </c>
      <c r="AW101">
        <v>0.36874788561851568</v>
      </c>
      <c r="AX101">
        <v>0.38630392679508341</v>
      </c>
      <c r="AY101">
        <v>0.40814799350508313</v>
      </c>
      <c r="AZ101">
        <v>0.43700742287774608</v>
      </c>
      <c r="BA101">
        <v>0.49076284882674814</v>
      </c>
      <c r="BB101">
        <v>0.52279281611328776</v>
      </c>
      <c r="BC101">
        <v>0.53146067096785921</v>
      </c>
      <c r="BD101">
        <v>0.53458384059448194</v>
      </c>
      <c r="BE101">
        <v>0.54172578935296278</v>
      </c>
      <c r="BF101">
        <v>0.54668421438976755</v>
      </c>
      <c r="BG101">
        <v>0.55199019529077542</v>
      </c>
      <c r="BH101">
        <v>0.55946992017117114</v>
      </c>
      <c r="BI101">
        <v>0.56463971646207733</v>
      </c>
      <c r="BJ101">
        <v>0.5762556218665964</v>
      </c>
      <c r="BK101">
        <v>0.59162407627019631</v>
      </c>
      <c r="BL101">
        <v>0.63086818002786438</v>
      </c>
      <c r="BM101">
        <v>0.69342602122310248</v>
      </c>
      <c r="BN101">
        <v>0.743067485977289</v>
      </c>
      <c r="BO101">
        <v>0.78046501746225805</v>
      </c>
      <c r="BP101">
        <v>0.7965459756976615</v>
      </c>
      <c r="BQ101">
        <v>0.79750883276086015</v>
      </c>
      <c r="BR101">
        <v>0.78077246676766099</v>
      </c>
      <c r="BS101">
        <v>0.76708991603136112</v>
      </c>
      <c r="BT101">
        <v>0.77868250473310907</v>
      </c>
      <c r="BU101">
        <v>0.82637985222426169</v>
      </c>
      <c r="BV101">
        <v>0.90327674224520482</v>
      </c>
      <c r="BW101">
        <v>1.0278926412563343</v>
      </c>
      <c r="BX101">
        <v>1.2205357036824978</v>
      </c>
    </row>
    <row r="102" spans="1:76">
      <c r="A102" t="s">
        <v>221</v>
      </c>
      <c r="B102">
        <v>2008</v>
      </c>
      <c r="C102">
        <v>8</v>
      </c>
      <c r="D102">
        <v>4</v>
      </c>
      <c r="E102">
        <v>13.350000000000001</v>
      </c>
      <c r="F102">
        <v>3</v>
      </c>
      <c r="G102">
        <v>0.70195700000000005</v>
      </c>
      <c r="H102">
        <v>17.1171949343214</v>
      </c>
      <c r="I102">
        <v>2.2000000000000002</v>
      </c>
      <c r="J102">
        <v>0.73983846643246698</v>
      </c>
      <c r="K102">
        <v>2.0826603683137428</v>
      </c>
      <c r="L102">
        <v>1.5408322529929164</v>
      </c>
      <c r="M102">
        <v>2.5571121703971937</v>
      </c>
      <c r="N102">
        <v>2.4030976880013082</v>
      </c>
      <c r="O102">
        <v>2.2585547450747754</v>
      </c>
      <c r="P102">
        <v>2.1380626263935536</v>
      </c>
      <c r="Q102">
        <v>2.0199205081323943</v>
      </c>
      <c r="R102">
        <v>1.9092095195335264</v>
      </c>
      <c r="S102">
        <v>1.8207455975339204</v>
      </c>
      <c r="T102">
        <v>1.7364059507897243</v>
      </c>
      <c r="U102">
        <v>1.651689607416162</v>
      </c>
      <c r="V102">
        <v>1.5511398265704748</v>
      </c>
      <c r="W102">
        <v>1.4497372080031139</v>
      </c>
      <c r="X102">
        <v>1.3664731535794592</v>
      </c>
      <c r="Y102">
        <v>1.2959801512181393</v>
      </c>
      <c r="Z102">
        <v>1.231351274190295</v>
      </c>
      <c r="AA102">
        <v>1.1649669853024922</v>
      </c>
      <c r="AB102">
        <v>1.0982638542916252</v>
      </c>
      <c r="AC102">
        <v>1.0366031468926342</v>
      </c>
      <c r="AD102">
        <v>0.98412732108226531</v>
      </c>
      <c r="AE102">
        <v>0.93501967818056286</v>
      </c>
      <c r="AF102">
        <v>0.8891915741588462</v>
      </c>
      <c r="AG102">
        <v>0.84900161476854641</v>
      </c>
      <c r="AH102">
        <v>0.80925412857727697</v>
      </c>
      <c r="AI102">
        <v>0.7724203765353892</v>
      </c>
      <c r="AJ102">
        <v>0.73590872321094181</v>
      </c>
      <c r="AK102">
        <v>0.69962514640544604</v>
      </c>
      <c r="AL102">
        <v>0.66679166805551215</v>
      </c>
      <c r="AM102">
        <v>0.6388014270876412</v>
      </c>
      <c r="AN102">
        <v>0.61255720221251175</v>
      </c>
      <c r="AO102">
        <v>0.58946898800347136</v>
      </c>
      <c r="AP102">
        <v>0.56828383711089425</v>
      </c>
      <c r="AQ102">
        <v>0.54579732758517863</v>
      </c>
      <c r="AR102">
        <v>0.52920307369218456</v>
      </c>
      <c r="AS102">
        <v>0.5028068639498452</v>
      </c>
      <c r="AT102">
        <v>0.48804640638559238</v>
      </c>
      <c r="AU102">
        <v>0.47582316981838096</v>
      </c>
      <c r="AV102">
        <v>0.47046690252482826</v>
      </c>
      <c r="AW102">
        <v>0.47550487922512608</v>
      </c>
      <c r="AX102">
        <v>0.49050427706916488</v>
      </c>
      <c r="AY102">
        <v>0.50913226350176299</v>
      </c>
      <c r="AZ102">
        <v>0.53431342703530327</v>
      </c>
      <c r="BA102">
        <v>0.58396865461510272</v>
      </c>
      <c r="BB102">
        <v>0.61451048064220337</v>
      </c>
      <c r="BC102">
        <v>0.6246727086672933</v>
      </c>
      <c r="BD102">
        <v>0.62948485265103826</v>
      </c>
      <c r="BE102">
        <v>0.63772712837201007</v>
      </c>
      <c r="BF102">
        <v>0.64196560459471019</v>
      </c>
      <c r="BG102">
        <v>0.6465305934222535</v>
      </c>
      <c r="BH102">
        <v>0.6537112147384172</v>
      </c>
      <c r="BI102">
        <v>0.65683729667830137</v>
      </c>
      <c r="BJ102">
        <v>0.66735111340047082</v>
      </c>
      <c r="BK102">
        <v>0.68375121375646741</v>
      </c>
      <c r="BL102">
        <v>0.72896342097124056</v>
      </c>
      <c r="BM102">
        <v>0.80844607534150292</v>
      </c>
      <c r="BN102">
        <v>0.88150802740311995</v>
      </c>
      <c r="BO102">
        <v>0.94048636594263002</v>
      </c>
      <c r="BP102">
        <v>0.96307639487822516</v>
      </c>
      <c r="BQ102">
        <v>0.95270994156629774</v>
      </c>
      <c r="BR102">
        <v>0.90804336186551882</v>
      </c>
      <c r="BS102">
        <v>0.86137836549590641</v>
      </c>
      <c r="BT102">
        <v>0.84832538509669464</v>
      </c>
      <c r="BU102">
        <v>0.88052476314616468</v>
      </c>
      <c r="BV102">
        <v>0.95160564781141543</v>
      </c>
      <c r="BW102">
        <v>1.0711988357793312</v>
      </c>
      <c r="BX102">
        <v>1.2634461670440256</v>
      </c>
    </row>
    <row r="103" spans="1:76">
      <c r="A103" t="s">
        <v>222</v>
      </c>
      <c r="B103">
        <v>2008</v>
      </c>
      <c r="C103">
        <v>8</v>
      </c>
      <c r="D103">
        <v>4</v>
      </c>
      <c r="E103">
        <v>13.466666666666667</v>
      </c>
      <c r="F103">
        <v>3</v>
      </c>
      <c r="G103">
        <v>0.65543099999999999</v>
      </c>
      <c r="H103">
        <v>15.303824877121224</v>
      </c>
      <c r="I103">
        <v>3.4</v>
      </c>
      <c r="J103">
        <v>0.84993038688349909</v>
      </c>
      <c r="K103">
        <v>1.3540557942129958</v>
      </c>
      <c r="L103">
        <v>1.1508531650372951</v>
      </c>
      <c r="M103">
        <v>2.698053369221892</v>
      </c>
      <c r="N103">
        <v>2.5458685911876726</v>
      </c>
      <c r="O103">
        <v>2.4029475008778438</v>
      </c>
      <c r="P103">
        <v>2.2827934159603793</v>
      </c>
      <c r="Q103">
        <v>2.1652013800889249</v>
      </c>
      <c r="R103">
        <v>2.0548629826397597</v>
      </c>
      <c r="S103">
        <v>1.9655139174887108</v>
      </c>
      <c r="T103">
        <v>1.8803009120727376</v>
      </c>
      <c r="U103">
        <v>1.7950646977200559</v>
      </c>
      <c r="V103">
        <v>1.6953779275813903</v>
      </c>
      <c r="W103">
        <v>1.5951815420584996</v>
      </c>
      <c r="X103">
        <v>1.5119679865508222</v>
      </c>
      <c r="Y103">
        <v>1.4408233938932715</v>
      </c>
      <c r="Z103">
        <v>1.3753433459553022</v>
      </c>
      <c r="AA103">
        <v>1.3084304373665416</v>
      </c>
      <c r="AB103">
        <v>1.2414287149681416</v>
      </c>
      <c r="AC103">
        <v>1.1793224368130188</v>
      </c>
      <c r="AD103">
        <v>1.1258784588008877</v>
      </c>
      <c r="AE103">
        <v>1.0757523074364732</v>
      </c>
      <c r="AF103">
        <v>1.0288932970356766</v>
      </c>
      <c r="AG103">
        <v>0.98747157553608567</v>
      </c>
      <c r="AH103">
        <v>0.94674608570590901</v>
      </c>
      <c r="AI103">
        <v>0.90898254662102818</v>
      </c>
      <c r="AJ103">
        <v>0.87163841754435833</v>
      </c>
      <c r="AK103">
        <v>0.83409299078650379</v>
      </c>
      <c r="AL103">
        <v>0.79979331143644727</v>
      </c>
      <c r="AM103">
        <v>0.77015706303269682</v>
      </c>
      <c r="AN103">
        <v>0.74222853746529893</v>
      </c>
      <c r="AO103">
        <v>0.71734199068918247</v>
      </c>
      <c r="AP103">
        <v>0.69441479413289597</v>
      </c>
      <c r="AQ103">
        <v>0.67046573452030345</v>
      </c>
      <c r="AR103">
        <v>0.65189681919425002</v>
      </c>
      <c r="AS103">
        <v>0.62407611053406042</v>
      </c>
      <c r="AT103">
        <v>0.60723857868321085</v>
      </c>
      <c r="AU103">
        <v>0.59311071756109746</v>
      </c>
      <c r="AV103">
        <v>0.58573885172083795</v>
      </c>
      <c r="AW103">
        <v>0.58867016012509188</v>
      </c>
      <c r="AX103">
        <v>0.60176269798099336</v>
      </c>
      <c r="AY103">
        <v>0.6186984287926891</v>
      </c>
      <c r="AZ103">
        <v>0.64239370112007854</v>
      </c>
      <c r="BA103">
        <v>0.69096261743512088</v>
      </c>
      <c r="BB103">
        <v>0.71967448808596879</v>
      </c>
      <c r="BC103">
        <v>0.7272476940255681</v>
      </c>
      <c r="BD103">
        <v>0.7294046675001078</v>
      </c>
      <c r="BE103">
        <v>0.73516415264618495</v>
      </c>
      <c r="BF103">
        <v>0.7372347452165976</v>
      </c>
      <c r="BG103">
        <v>0.73966403097258326</v>
      </c>
      <c r="BH103">
        <v>0.74467868517683755</v>
      </c>
      <c r="BI103">
        <v>0.74593703989888294</v>
      </c>
      <c r="BJ103">
        <v>0.75450555591354496</v>
      </c>
      <c r="BK103">
        <v>0.76864574874700287</v>
      </c>
      <c r="BL103">
        <v>0.81098227782210819</v>
      </c>
      <c r="BM103">
        <v>0.88588820864377571</v>
      </c>
      <c r="BN103">
        <v>0.95311941040786341</v>
      </c>
      <c r="BO103">
        <v>1.0064878383653721</v>
      </c>
      <c r="BP103">
        <v>1.0259251143032975</v>
      </c>
      <c r="BQ103">
        <v>1.015398720177551</v>
      </c>
      <c r="BR103">
        <v>0.9733253297475094</v>
      </c>
      <c r="BS103">
        <v>0.93016878823948468</v>
      </c>
      <c r="BT103">
        <v>0.91939856988702506</v>
      </c>
      <c r="BU103">
        <v>0.95260589353770075</v>
      </c>
      <c r="BV103">
        <v>1.0232611541405916</v>
      </c>
      <c r="BW103">
        <v>1.1426939825242419</v>
      </c>
      <c r="BX103">
        <v>1.3345463283291763</v>
      </c>
    </row>
    <row r="104" spans="1:76">
      <c r="A104" t="s">
        <v>223</v>
      </c>
      <c r="B104">
        <v>2008</v>
      </c>
      <c r="C104">
        <v>8</v>
      </c>
      <c r="D104">
        <v>4</v>
      </c>
      <c r="E104">
        <v>13.616666666666667</v>
      </c>
      <c r="F104">
        <v>3</v>
      </c>
      <c r="G104">
        <v>0.48938900000000002</v>
      </c>
      <c r="H104">
        <v>9.4824097336079465</v>
      </c>
      <c r="I104">
        <v>2.5</v>
      </c>
      <c r="J104">
        <v>0.69553738886979</v>
      </c>
      <c r="K104">
        <v>1.8432463326309767</v>
      </c>
      <c r="L104">
        <v>1.2820467412419658</v>
      </c>
      <c r="M104">
        <v>2.0150619567823678</v>
      </c>
      <c r="N104">
        <v>1.8996935939467172</v>
      </c>
      <c r="O104">
        <v>1.7916884753309479</v>
      </c>
      <c r="P104">
        <v>1.7006065286871876</v>
      </c>
      <c r="Q104">
        <v>1.6118650686920601</v>
      </c>
      <c r="R104">
        <v>1.5287591801912965</v>
      </c>
      <c r="S104">
        <v>1.4610524157112839</v>
      </c>
      <c r="T104">
        <v>1.3966603977543837</v>
      </c>
      <c r="U104">
        <v>1.3327301175587289</v>
      </c>
      <c r="V104">
        <v>1.2587168975358449</v>
      </c>
      <c r="W104">
        <v>1.1847187609709606</v>
      </c>
      <c r="X104">
        <v>1.1227135824108685</v>
      </c>
      <c r="Y104">
        <v>1.0694931408757364</v>
      </c>
      <c r="Z104">
        <v>1.0205491727123481</v>
      </c>
      <c r="AA104">
        <v>0.97075379982342924</v>
      </c>
      <c r="AB104">
        <v>0.92112919737450749</v>
      </c>
      <c r="AC104">
        <v>0.87528287332148424</v>
      </c>
      <c r="AD104">
        <v>0.8356334140170123</v>
      </c>
      <c r="AE104">
        <v>0.79860257069044072</v>
      </c>
      <c r="AF104">
        <v>0.7643042197485308</v>
      </c>
      <c r="AG104">
        <v>0.73424798813328196</v>
      </c>
      <c r="AH104">
        <v>0.70538757273482944</v>
      </c>
      <c r="AI104">
        <v>0.67927101823879654</v>
      </c>
      <c r="AJ104">
        <v>0.65358286256833875</v>
      </c>
      <c r="AK104">
        <v>0.62584227367803003</v>
      </c>
      <c r="AL104">
        <v>0.60031237075505162</v>
      </c>
      <c r="AM104">
        <v>0.57851558781998158</v>
      </c>
      <c r="AN104">
        <v>0.55805235633092531</v>
      </c>
      <c r="AO104">
        <v>0.5399886434193456</v>
      </c>
      <c r="AP104">
        <v>0.52388735015326571</v>
      </c>
      <c r="AQ104">
        <v>0.50765577065376688</v>
      </c>
      <c r="AR104">
        <v>0.49467356846488897</v>
      </c>
      <c r="AS104">
        <v>0.47461905444133423</v>
      </c>
      <c r="AT104">
        <v>0.46271709917867149</v>
      </c>
      <c r="AU104">
        <v>0.45391426054484851</v>
      </c>
      <c r="AV104">
        <v>0.45097226870220763</v>
      </c>
      <c r="AW104">
        <v>0.4572608503056419</v>
      </c>
      <c r="AX104">
        <v>0.47371977176369118</v>
      </c>
      <c r="AY104">
        <v>0.49446333040383694</v>
      </c>
      <c r="AZ104">
        <v>0.52232519749149642</v>
      </c>
      <c r="BA104">
        <v>0.57566158824129232</v>
      </c>
      <c r="BB104">
        <v>0.607150058346835</v>
      </c>
      <c r="BC104">
        <v>0.615251196344761</v>
      </c>
      <c r="BD104">
        <v>0.61771072965146312</v>
      </c>
      <c r="BE104">
        <v>0.62418518342035323</v>
      </c>
      <c r="BF104">
        <v>0.62806711264134396</v>
      </c>
      <c r="BG104">
        <v>0.63230975160034564</v>
      </c>
      <c r="BH104">
        <v>0.63887686980530645</v>
      </c>
      <c r="BI104">
        <v>0.64273717578922429</v>
      </c>
      <c r="BJ104">
        <v>0.65339685755098609</v>
      </c>
      <c r="BK104">
        <v>0.66833018271469591</v>
      </c>
      <c r="BL104">
        <v>0.70871180988185989</v>
      </c>
      <c r="BM104">
        <v>0.77513001213516541</v>
      </c>
      <c r="BN104">
        <v>0.82958782114464458</v>
      </c>
      <c r="BO104">
        <v>0.87114396633962154</v>
      </c>
      <c r="BP104">
        <v>0.88790334454800968</v>
      </c>
      <c r="BQ104">
        <v>0.88566586135194636</v>
      </c>
      <c r="BR104">
        <v>0.86203022999558265</v>
      </c>
      <c r="BS104">
        <v>0.84052836871414816</v>
      </c>
      <c r="BT104">
        <v>0.84655858068244894</v>
      </c>
      <c r="BU104">
        <v>0.89136819390624478</v>
      </c>
      <c r="BV104">
        <v>0.96798786659221558</v>
      </c>
      <c r="BW104">
        <v>1.0936219743763722</v>
      </c>
      <c r="BX104">
        <v>1.2898190734490882</v>
      </c>
    </row>
    <row r="105" spans="1:76">
      <c r="A105" t="s">
        <v>226</v>
      </c>
      <c r="B105">
        <v>2008</v>
      </c>
      <c r="C105">
        <v>12</v>
      </c>
      <c r="D105">
        <v>5</v>
      </c>
      <c r="E105">
        <v>9.7666666666666675</v>
      </c>
      <c r="F105">
        <v>3</v>
      </c>
      <c r="G105">
        <v>0.20669899999999999</v>
      </c>
      <c r="H105">
        <v>1.5526003433233631</v>
      </c>
      <c r="I105">
        <v>2.6</v>
      </c>
      <c r="J105">
        <v>0.61001158183157711</v>
      </c>
      <c r="K105">
        <v>1.7237357208429895</v>
      </c>
      <c r="L105">
        <v>1.0514987537310259</v>
      </c>
      <c r="M105">
        <v>1.2954267596519378</v>
      </c>
      <c r="N105">
        <v>1.227596007327872</v>
      </c>
      <c r="O105">
        <v>1.164840900785753</v>
      </c>
      <c r="P105">
        <v>1.1096786627674105</v>
      </c>
      <c r="Q105">
        <v>1.0573103434373583</v>
      </c>
      <c r="R105">
        <v>1.0084854441843976</v>
      </c>
      <c r="S105">
        <v>0.96593737968865967</v>
      </c>
      <c r="T105">
        <v>0.9259012934202081</v>
      </c>
      <c r="U105">
        <v>0.88783100204123744</v>
      </c>
      <c r="V105">
        <v>0.84780079806467679</v>
      </c>
      <c r="W105">
        <v>0.80921781939917914</v>
      </c>
      <c r="X105">
        <v>0.77412718010115267</v>
      </c>
      <c r="Y105">
        <v>0.742442563960519</v>
      </c>
      <c r="Z105">
        <v>0.71299391318626104</v>
      </c>
      <c r="AA105">
        <v>0.68404660230917769</v>
      </c>
      <c r="AB105">
        <v>0.65607291235332044</v>
      </c>
      <c r="AC105">
        <v>0.63034312462940578</v>
      </c>
      <c r="AD105">
        <v>0.60676922954809542</v>
      </c>
      <c r="AE105">
        <v>0.58501317208514192</v>
      </c>
      <c r="AF105">
        <v>0.5655753587227188</v>
      </c>
      <c r="AG105">
        <v>0.54881548097543753</v>
      </c>
      <c r="AH105">
        <v>0.53495397239744802</v>
      </c>
      <c r="AI105">
        <v>0.52420717021384955</v>
      </c>
      <c r="AJ105">
        <v>0.51429649357085339</v>
      </c>
      <c r="AK105">
        <v>0.498048128226104</v>
      </c>
      <c r="AL105">
        <v>0.48234794793799113</v>
      </c>
      <c r="AM105">
        <v>0.46919227990637752</v>
      </c>
      <c r="AN105">
        <v>0.45696591225224309</v>
      </c>
      <c r="AO105">
        <v>0.4462912729534948</v>
      </c>
      <c r="AP105">
        <v>0.43813290074346556</v>
      </c>
      <c r="AQ105">
        <v>0.4320400578471621</v>
      </c>
      <c r="AR105">
        <v>0.42491962057420701</v>
      </c>
      <c r="AS105">
        <v>0.41472499204926749</v>
      </c>
      <c r="AT105">
        <v>0.40757506254786247</v>
      </c>
      <c r="AU105">
        <v>0.40496878459594426</v>
      </c>
      <c r="AV105">
        <v>0.40714308584653547</v>
      </c>
      <c r="AW105">
        <v>0.41758434315333015</v>
      </c>
      <c r="AX105">
        <v>0.43975989928321313</v>
      </c>
      <c r="AY105">
        <v>0.46778462452901393</v>
      </c>
      <c r="AZ105">
        <v>0.50462399493800603</v>
      </c>
      <c r="BA105">
        <v>0.57148249616282043</v>
      </c>
      <c r="BB105">
        <v>0.60928886536841598</v>
      </c>
      <c r="BC105">
        <v>0.61600310103049927</v>
      </c>
      <c r="BD105">
        <v>0.61593623161201594</v>
      </c>
      <c r="BE105">
        <v>0.62132388624126711</v>
      </c>
      <c r="BF105">
        <v>0.62612842784550549</v>
      </c>
      <c r="BG105">
        <v>0.63139148799122602</v>
      </c>
      <c r="BH105">
        <v>0.63877698913267855</v>
      </c>
      <c r="BI105">
        <v>0.64533686562501058</v>
      </c>
      <c r="BJ105">
        <v>0.65852188424575997</v>
      </c>
      <c r="BK105">
        <v>0.67385394413066035</v>
      </c>
      <c r="BL105">
        <v>0.71219634068048943</v>
      </c>
      <c r="BM105">
        <v>0.76629877731244478</v>
      </c>
      <c r="BN105">
        <v>0.79804048211621215</v>
      </c>
      <c r="BO105">
        <v>0.81729057013202422</v>
      </c>
      <c r="BP105">
        <v>0.82762328091725212</v>
      </c>
      <c r="BQ105">
        <v>0.83934234104332517</v>
      </c>
      <c r="BR105">
        <v>0.84802995506444723</v>
      </c>
      <c r="BS105">
        <v>0.86579338677856921</v>
      </c>
      <c r="BT105">
        <v>0.90446372712006817</v>
      </c>
      <c r="BU105">
        <v>0.97597610815760283</v>
      </c>
      <c r="BV105">
        <v>1.0715873105260605</v>
      </c>
      <c r="BW105">
        <v>1.2227912212375855</v>
      </c>
      <c r="BX105">
        <v>1.4494736045477818</v>
      </c>
    </row>
    <row r="106" spans="1:76">
      <c r="A106" t="s">
        <v>227</v>
      </c>
      <c r="B106">
        <v>2008</v>
      </c>
      <c r="C106">
        <v>12</v>
      </c>
      <c r="D106">
        <v>5</v>
      </c>
      <c r="E106">
        <v>9.85</v>
      </c>
      <c r="F106">
        <v>3</v>
      </c>
      <c r="G106">
        <v>0.21662400000000001</v>
      </c>
      <c r="H106">
        <v>1.0530263355108556</v>
      </c>
      <c r="I106">
        <v>1.4</v>
      </c>
      <c r="J106">
        <v>0.45741522412230995</v>
      </c>
      <c r="K106">
        <v>3.2661117529741182</v>
      </c>
      <c r="L106">
        <v>1.4939692394951669</v>
      </c>
      <c r="M106">
        <v>1.0171563616720263</v>
      </c>
      <c r="N106">
        <v>0.95342614051807084</v>
      </c>
      <c r="O106">
        <v>0.89502392348200122</v>
      </c>
      <c r="P106">
        <v>0.84361912409493611</v>
      </c>
      <c r="Q106">
        <v>0.79546109711904134</v>
      </c>
      <c r="R106">
        <v>0.75096773380247261</v>
      </c>
      <c r="S106">
        <v>0.71203931787335595</v>
      </c>
      <c r="T106">
        <v>0.67580833497235426</v>
      </c>
      <c r="U106">
        <v>0.64194822585869393</v>
      </c>
      <c r="V106">
        <v>0.60726666842289045</v>
      </c>
      <c r="W106">
        <v>0.57438951754263556</v>
      </c>
      <c r="X106">
        <v>0.54424472047371608</v>
      </c>
      <c r="Y106">
        <v>0.51706118898485165</v>
      </c>
      <c r="Z106">
        <v>0.49202778479565001</v>
      </c>
      <c r="AA106">
        <v>0.46779229994021965</v>
      </c>
      <c r="AB106">
        <v>0.44475588810799027</v>
      </c>
      <c r="AC106">
        <v>0.42390467265104881</v>
      </c>
      <c r="AD106">
        <v>0.40485487188735397</v>
      </c>
      <c r="AE106">
        <v>0.38762078285325136</v>
      </c>
      <c r="AF106">
        <v>0.37271947248707826</v>
      </c>
      <c r="AG106">
        <v>0.36034966651278905</v>
      </c>
      <c r="AH106">
        <v>0.3510726708566525</v>
      </c>
      <c r="AI106">
        <v>0.34491497640942104</v>
      </c>
      <c r="AJ106">
        <v>0.33964419546704538</v>
      </c>
      <c r="AK106">
        <v>0.32779390413878173</v>
      </c>
      <c r="AL106">
        <v>0.31633464858158455</v>
      </c>
      <c r="AM106">
        <v>0.307222632345655</v>
      </c>
      <c r="AN106">
        <v>0.29897909557298441</v>
      </c>
      <c r="AO106">
        <v>0.29213362796297582</v>
      </c>
      <c r="AP106">
        <v>0.28774298615763816</v>
      </c>
      <c r="AQ106">
        <v>0.28554351779583809</v>
      </c>
      <c r="AR106">
        <v>0.28187265770857695</v>
      </c>
      <c r="AS106">
        <v>0.27572480350069267</v>
      </c>
      <c r="AT106">
        <v>0.27186848919001766</v>
      </c>
      <c r="AU106">
        <v>0.27242175104939631</v>
      </c>
      <c r="AV106">
        <v>0.27732418244040224</v>
      </c>
      <c r="AW106">
        <v>0.28989764441573124</v>
      </c>
      <c r="AX106">
        <v>0.31378865720288257</v>
      </c>
      <c r="AY106">
        <v>0.34354732041728198</v>
      </c>
      <c r="AZ106">
        <v>0.38212955821110045</v>
      </c>
      <c r="BA106">
        <v>0.45055594657459963</v>
      </c>
      <c r="BB106">
        <v>0.49028720402526005</v>
      </c>
      <c r="BC106">
        <v>0.49890811050980427</v>
      </c>
      <c r="BD106">
        <v>0.5007702407673128</v>
      </c>
      <c r="BE106">
        <v>0.50809677993714553</v>
      </c>
      <c r="BF106">
        <v>0.51505262157822285</v>
      </c>
      <c r="BG106">
        <v>0.52245355268369409</v>
      </c>
      <c r="BH106">
        <v>0.53189762631556625</v>
      </c>
      <c r="BI106">
        <v>0.54072191627542754</v>
      </c>
      <c r="BJ106">
        <v>0.55601111554054272</v>
      </c>
      <c r="BK106">
        <v>0.57317685424901366</v>
      </c>
      <c r="BL106">
        <v>0.61266763005392599</v>
      </c>
      <c r="BM106">
        <v>0.66658898437126679</v>
      </c>
      <c r="BN106">
        <v>0.69745402096501319</v>
      </c>
      <c r="BO106">
        <v>0.7160749775052212</v>
      </c>
      <c r="BP106">
        <v>0.72759668129978705</v>
      </c>
      <c r="BQ106">
        <v>0.74263293333197189</v>
      </c>
      <c r="BR106">
        <v>0.75662391855816813</v>
      </c>
      <c r="BS106">
        <v>0.78027145076144178</v>
      </c>
      <c r="BT106">
        <v>0.8237876372215821</v>
      </c>
      <c r="BU106">
        <v>0.89900493700295814</v>
      </c>
      <c r="BV106">
        <v>0.99713612905717042</v>
      </c>
      <c r="BW106">
        <v>1.1507056093397499</v>
      </c>
      <c r="BX106">
        <v>1.3791186956613324</v>
      </c>
    </row>
    <row r="107" spans="1:76">
      <c r="A107" t="s">
        <v>228</v>
      </c>
      <c r="B107">
        <v>2008</v>
      </c>
      <c r="C107">
        <v>12</v>
      </c>
      <c r="D107">
        <v>5</v>
      </c>
      <c r="E107">
        <v>10.016666666666667</v>
      </c>
      <c r="F107">
        <v>3</v>
      </c>
      <c r="G107">
        <v>0.21471499999999999</v>
      </c>
      <c r="H107">
        <v>1.749784507471067</v>
      </c>
      <c r="I107">
        <v>2.4</v>
      </c>
      <c r="J107">
        <v>0.58973938003278492</v>
      </c>
      <c r="K107">
        <v>1.8777161350456661</v>
      </c>
      <c r="L107">
        <v>1.1073631493593883</v>
      </c>
      <c r="M107">
        <v>1.2706037670357004</v>
      </c>
      <c r="N107">
        <v>1.202634372569803</v>
      </c>
      <c r="O107">
        <v>1.1397412097893069</v>
      </c>
      <c r="P107">
        <v>1.084715884398658</v>
      </c>
      <c r="Q107">
        <v>1.0323934397966823</v>
      </c>
      <c r="R107">
        <v>0.98362571355040451</v>
      </c>
      <c r="S107">
        <v>0.94141866078838432</v>
      </c>
      <c r="T107">
        <v>0.90169538615813194</v>
      </c>
      <c r="U107">
        <v>0.8638245763605783</v>
      </c>
      <c r="V107">
        <v>0.82363303557571954</v>
      </c>
      <c r="W107">
        <v>0.78478340886151221</v>
      </c>
      <c r="X107">
        <v>0.74970911039118593</v>
      </c>
      <c r="Y107">
        <v>0.71820585442728846</v>
      </c>
      <c r="Z107">
        <v>0.68897774855227389</v>
      </c>
      <c r="AA107">
        <v>0.66016137918841511</v>
      </c>
      <c r="AB107">
        <v>0.63225074854279395</v>
      </c>
      <c r="AC107">
        <v>0.60660789136926052</v>
      </c>
      <c r="AD107">
        <v>0.58324966217420182</v>
      </c>
      <c r="AE107">
        <v>0.56170979184775072</v>
      </c>
      <c r="AF107">
        <v>0.54247283211870378</v>
      </c>
      <c r="AG107">
        <v>0.52594623317423883</v>
      </c>
      <c r="AH107">
        <v>0.51221470367788635</v>
      </c>
      <c r="AI107">
        <v>0.50155006163177529</v>
      </c>
      <c r="AJ107">
        <v>0.49168086333046168</v>
      </c>
      <c r="AK107">
        <v>0.47565537511040201</v>
      </c>
      <c r="AL107">
        <v>0.46023005930696415</v>
      </c>
      <c r="AM107">
        <v>0.44737526428682151</v>
      </c>
      <c r="AN107">
        <v>0.43544910560537031</v>
      </c>
      <c r="AO107">
        <v>0.42509051167461054</v>
      </c>
      <c r="AP107">
        <v>0.41720032579782906</v>
      </c>
      <c r="AQ107">
        <v>0.41126066173784703</v>
      </c>
      <c r="AR107">
        <v>0.40446459341627322</v>
      </c>
      <c r="AS107">
        <v>0.3944326696572984</v>
      </c>
      <c r="AT107">
        <v>0.38763096884836212</v>
      </c>
      <c r="AU107">
        <v>0.38527542278067678</v>
      </c>
      <c r="AV107">
        <v>0.38770406676176761</v>
      </c>
      <c r="AW107">
        <v>0.39837764964620737</v>
      </c>
      <c r="AX107">
        <v>0.42064806708257596</v>
      </c>
      <c r="AY107">
        <v>0.44867741842474318</v>
      </c>
      <c r="AZ107">
        <v>0.48542620402337766</v>
      </c>
      <c r="BA107">
        <v>0.55193619262901661</v>
      </c>
      <c r="BB107">
        <v>0.58979655972048128</v>
      </c>
      <c r="BC107">
        <v>0.59694894806079279</v>
      </c>
      <c r="BD107">
        <v>0.59737592368003667</v>
      </c>
      <c r="BE107">
        <v>0.60318087238173967</v>
      </c>
      <c r="BF107">
        <v>0.60832031880134863</v>
      </c>
      <c r="BG107">
        <v>0.61390817972746603</v>
      </c>
      <c r="BH107">
        <v>0.62161648368565892</v>
      </c>
      <c r="BI107">
        <v>0.62842371717184453</v>
      </c>
      <c r="BJ107">
        <v>0.64184415894126268</v>
      </c>
      <c r="BK107">
        <v>0.65748677786493415</v>
      </c>
      <c r="BL107">
        <v>0.69618449923858128</v>
      </c>
      <c r="BM107">
        <v>0.75101287543048989</v>
      </c>
      <c r="BN107">
        <v>0.78392693920593681</v>
      </c>
      <c r="BO107">
        <v>0.80435389899392806</v>
      </c>
      <c r="BP107">
        <v>0.81526092093259617</v>
      </c>
      <c r="BQ107">
        <v>0.82675928854993896</v>
      </c>
      <c r="BR107">
        <v>0.83451794625698961</v>
      </c>
      <c r="BS107">
        <v>0.8510662704644042</v>
      </c>
      <c r="BT107">
        <v>0.88874154455181831</v>
      </c>
      <c r="BU107">
        <v>0.95943343194715525</v>
      </c>
      <c r="BV107">
        <v>1.0544827627953992</v>
      </c>
      <c r="BW107">
        <v>1.2047790753859098</v>
      </c>
      <c r="BX107">
        <v>1.4302402238725265</v>
      </c>
    </row>
    <row r="108" spans="1:76">
      <c r="A108" t="s">
        <v>229</v>
      </c>
      <c r="B108">
        <v>2008</v>
      </c>
      <c r="C108">
        <v>12</v>
      </c>
      <c r="D108">
        <v>5</v>
      </c>
      <c r="E108">
        <v>10.15</v>
      </c>
      <c r="F108">
        <v>3</v>
      </c>
      <c r="G108">
        <v>0.21640699999999999</v>
      </c>
      <c r="H108">
        <v>1.4973373112455362</v>
      </c>
      <c r="I108">
        <v>2.6</v>
      </c>
      <c r="J108">
        <v>0.60833030216962736</v>
      </c>
      <c r="K108">
        <v>1.7252491972474107</v>
      </c>
      <c r="L108">
        <v>1.0495213654794244</v>
      </c>
      <c r="M108">
        <v>1.3109497139533894</v>
      </c>
      <c r="N108">
        <v>1.241218464571892</v>
      </c>
      <c r="O108">
        <v>1.1767712773905572</v>
      </c>
      <c r="P108">
        <v>1.1199943416351805</v>
      </c>
      <c r="Q108">
        <v>1.0662249784918179</v>
      </c>
      <c r="R108">
        <v>1.0161556650602488</v>
      </c>
      <c r="S108">
        <v>0.97238923703832292</v>
      </c>
      <c r="T108">
        <v>0.93127706284589618</v>
      </c>
      <c r="U108">
        <v>0.89228829066827275</v>
      </c>
      <c r="V108">
        <v>0.85160506007417625</v>
      </c>
      <c r="W108">
        <v>0.81250515053982253</v>
      </c>
      <c r="X108">
        <v>0.77688488027187153</v>
      </c>
      <c r="Y108">
        <v>0.74468083020722231</v>
      </c>
      <c r="Z108">
        <v>0.7147632987550474</v>
      </c>
      <c r="AA108">
        <v>0.68544804442036122</v>
      </c>
      <c r="AB108">
        <v>0.65718844617104821</v>
      </c>
      <c r="AC108">
        <v>0.63120240875999123</v>
      </c>
      <c r="AD108">
        <v>0.6073658861670439</v>
      </c>
      <c r="AE108">
        <v>0.5853758616239656</v>
      </c>
      <c r="AF108">
        <v>0.56572646477362565</v>
      </c>
      <c r="AG108">
        <v>0.54875247771084801</v>
      </c>
      <c r="AH108">
        <v>0.53470489664952014</v>
      </c>
      <c r="AI108">
        <v>0.52377967193861208</v>
      </c>
      <c r="AJ108">
        <v>0.51372565812981574</v>
      </c>
      <c r="AK108">
        <v>0.49739609514624766</v>
      </c>
      <c r="AL108">
        <v>0.48161884815520684</v>
      </c>
      <c r="AM108">
        <v>0.46836886752956153</v>
      </c>
      <c r="AN108">
        <v>0.45605938392513562</v>
      </c>
      <c r="AO108">
        <v>0.44529667727480993</v>
      </c>
      <c r="AP108">
        <v>0.43704828703926912</v>
      </c>
      <c r="AQ108">
        <v>0.43088889015488102</v>
      </c>
      <c r="AR108">
        <v>0.42368257499082973</v>
      </c>
      <c r="AS108">
        <v>0.41350156454752418</v>
      </c>
      <c r="AT108">
        <v>0.40628537306967238</v>
      </c>
      <c r="AU108">
        <v>0.40359499261587073</v>
      </c>
      <c r="AV108">
        <v>0.40563519561630701</v>
      </c>
      <c r="AW108">
        <v>0.41585705115398053</v>
      </c>
      <c r="AX108">
        <v>0.43772111848040129</v>
      </c>
      <c r="AY108">
        <v>0.46540292120389803</v>
      </c>
      <c r="AZ108">
        <v>0.50183484922149191</v>
      </c>
      <c r="BA108">
        <v>0.56802310092967978</v>
      </c>
      <c r="BB108">
        <v>0.60539288157446125</v>
      </c>
      <c r="BC108">
        <v>0.61192405906643055</v>
      </c>
      <c r="BD108">
        <v>0.61173986793233626</v>
      </c>
      <c r="BE108">
        <v>0.61697280756563577</v>
      </c>
      <c r="BF108">
        <v>0.6216558831450274</v>
      </c>
      <c r="BG108">
        <v>0.62679771998271527</v>
      </c>
      <c r="BH108">
        <v>0.63404058300226029</v>
      </c>
      <c r="BI108">
        <v>0.64049090437072986</v>
      </c>
      <c r="BJ108">
        <v>0.65349712072022759</v>
      </c>
      <c r="BK108">
        <v>0.66860604374827126</v>
      </c>
      <c r="BL108">
        <v>0.70644944419255096</v>
      </c>
      <c r="BM108">
        <v>0.75976944153714987</v>
      </c>
      <c r="BN108">
        <v>0.79085920542358035</v>
      </c>
      <c r="BO108">
        <v>0.8095989814417015</v>
      </c>
      <c r="BP108">
        <v>0.819694579821442</v>
      </c>
      <c r="BQ108">
        <v>0.83138883452257484</v>
      </c>
      <c r="BR108">
        <v>0.84029039038563225</v>
      </c>
      <c r="BS108">
        <v>0.85824699829181794</v>
      </c>
      <c r="BT108">
        <v>0.89681065056438913</v>
      </c>
      <c r="BU108">
        <v>0.96779414374767503</v>
      </c>
      <c r="BV108">
        <v>1.0625295049235066</v>
      </c>
      <c r="BW108">
        <v>1.2123261939081758</v>
      </c>
      <c r="BX108">
        <v>1.4368351933185672</v>
      </c>
    </row>
    <row r="109" spans="1:76">
      <c r="A109" t="s">
        <v>230</v>
      </c>
      <c r="B109">
        <v>2008</v>
      </c>
      <c r="C109">
        <v>12</v>
      </c>
      <c r="D109">
        <v>5</v>
      </c>
      <c r="E109">
        <v>10.199999999999999</v>
      </c>
      <c r="F109">
        <v>3</v>
      </c>
      <c r="G109">
        <v>0.209698</v>
      </c>
      <c r="H109">
        <v>1.5745545336984104</v>
      </c>
      <c r="I109">
        <v>2.6</v>
      </c>
      <c r="J109">
        <v>0.607504953790303</v>
      </c>
      <c r="K109">
        <v>1.7253409296231195</v>
      </c>
      <c r="L109">
        <v>1.0481531617232116</v>
      </c>
      <c r="M109">
        <v>1.2940536986781175</v>
      </c>
      <c r="N109">
        <v>1.2261905355927376</v>
      </c>
      <c r="O109">
        <v>1.1634059260183027</v>
      </c>
      <c r="P109">
        <v>1.1082193842723087</v>
      </c>
      <c r="Q109">
        <v>1.0558331449781333</v>
      </c>
      <c r="R109">
        <v>1.0069979831598359</v>
      </c>
      <c r="S109">
        <v>0.96444588389946395</v>
      </c>
      <c r="T109">
        <v>0.92441112314475171</v>
      </c>
      <c r="U109">
        <v>0.88634034568842734</v>
      </c>
      <c r="V109">
        <v>0.84631901222015404</v>
      </c>
      <c r="W109">
        <v>0.80774395434339152</v>
      </c>
      <c r="X109">
        <v>0.77268079753467089</v>
      </c>
      <c r="Y109">
        <v>0.74102837066542149</v>
      </c>
      <c r="Z109">
        <v>0.71161213330294415</v>
      </c>
      <c r="AA109">
        <v>0.68269857840045867</v>
      </c>
      <c r="AB109">
        <v>0.65475690889296712</v>
      </c>
      <c r="AC109">
        <v>0.62905210548484169</v>
      </c>
      <c r="AD109">
        <v>0.60550754201330959</v>
      </c>
      <c r="AE109">
        <v>0.58377296004676904</v>
      </c>
      <c r="AF109">
        <v>0.56434224485156315</v>
      </c>
      <c r="AG109">
        <v>0.54757534238447458</v>
      </c>
      <c r="AH109">
        <v>0.5336739656786702</v>
      </c>
      <c r="AI109">
        <v>0.52285986492117753</v>
      </c>
      <c r="AJ109">
        <v>0.51287802494619439</v>
      </c>
      <c r="AK109">
        <v>0.49664496220788945</v>
      </c>
      <c r="AL109">
        <v>0.48096580622824137</v>
      </c>
      <c r="AM109">
        <v>0.46781557166644716</v>
      </c>
      <c r="AN109">
        <v>0.45559182181818347</v>
      </c>
      <c r="AO109">
        <v>0.44491229458230203</v>
      </c>
      <c r="AP109">
        <v>0.4367251959939642</v>
      </c>
      <c r="AQ109">
        <v>0.43057740981608306</v>
      </c>
      <c r="AR109">
        <v>0.42343554914183601</v>
      </c>
      <c r="AS109">
        <v>0.413230733332282</v>
      </c>
      <c r="AT109">
        <v>0.40606962615572001</v>
      </c>
      <c r="AU109">
        <v>0.40340731123616747</v>
      </c>
      <c r="AV109">
        <v>0.40549046168433012</v>
      </c>
      <c r="AW109">
        <v>0.41577295702107542</v>
      </c>
      <c r="AX109">
        <v>0.43767636878169119</v>
      </c>
      <c r="AY109">
        <v>0.46536519663816867</v>
      </c>
      <c r="AZ109">
        <v>0.50177376568558618</v>
      </c>
      <c r="BA109">
        <v>0.56788450379604594</v>
      </c>
      <c r="BB109">
        <v>0.60524981955716184</v>
      </c>
      <c r="BC109">
        <v>0.61186189838074956</v>
      </c>
      <c r="BD109">
        <v>0.61176534959236617</v>
      </c>
      <c r="BE109">
        <v>0.61706364087817156</v>
      </c>
      <c r="BF109">
        <v>0.62177613747540461</v>
      </c>
      <c r="BG109">
        <v>0.62694251534615075</v>
      </c>
      <c r="BH109">
        <v>0.63421141059007347</v>
      </c>
      <c r="BI109">
        <v>0.6406548132060188</v>
      </c>
      <c r="BJ109">
        <v>0.65365933417026656</v>
      </c>
      <c r="BK109">
        <v>0.66879871201440011</v>
      </c>
      <c r="BL109">
        <v>0.70672646579828935</v>
      </c>
      <c r="BM109">
        <v>0.76029991110241879</v>
      </c>
      <c r="BN109">
        <v>0.7917839642394453</v>
      </c>
      <c r="BO109">
        <v>0.81090004118106074</v>
      </c>
      <c r="BP109">
        <v>0.82111802002664069</v>
      </c>
      <c r="BQ109">
        <v>0.83261939392031681</v>
      </c>
      <c r="BR109">
        <v>0.84104079568775181</v>
      </c>
      <c r="BS109">
        <v>0.85841636158825652</v>
      </c>
      <c r="BT109">
        <v>0.89651708035364941</v>
      </c>
      <c r="BU109">
        <v>0.96715449951304211</v>
      </c>
      <c r="BV109">
        <v>1.0616810446012908</v>
      </c>
      <c r="BW109">
        <v>1.2112106247008718</v>
      </c>
      <c r="BX109">
        <v>1.4354356717211434</v>
      </c>
    </row>
    <row r="110" spans="1:76">
      <c r="A110" t="s">
        <v>231</v>
      </c>
      <c r="B110">
        <v>2008</v>
      </c>
      <c r="C110">
        <v>12</v>
      </c>
      <c r="D110">
        <v>5</v>
      </c>
      <c r="E110">
        <v>10.3</v>
      </c>
      <c r="F110">
        <v>3</v>
      </c>
      <c r="G110">
        <v>0.21176400000000001</v>
      </c>
      <c r="H110">
        <v>1.5262893044713532</v>
      </c>
      <c r="I110">
        <v>2.4</v>
      </c>
      <c r="J110">
        <v>0.58259990154823804</v>
      </c>
      <c r="K110">
        <v>1.8767634388212211</v>
      </c>
      <c r="L110">
        <v>1.0934021946865762</v>
      </c>
      <c r="M110">
        <v>1.2486718035573305</v>
      </c>
      <c r="N110">
        <v>1.1815547693164101</v>
      </c>
      <c r="O110">
        <v>1.1195359524692565</v>
      </c>
      <c r="P110">
        <v>1.0650518543410512</v>
      </c>
      <c r="Q110">
        <v>1.0134071086141652</v>
      </c>
      <c r="R110">
        <v>0.96531988179770345</v>
      </c>
      <c r="S110">
        <v>0.92344052746127225</v>
      </c>
      <c r="T110">
        <v>0.88409058054885836</v>
      </c>
      <c r="U110">
        <v>0.84673663691342416</v>
      </c>
      <c r="V110">
        <v>0.80753640967792673</v>
      </c>
      <c r="W110">
        <v>0.76980887466812087</v>
      </c>
      <c r="X110">
        <v>0.73551531513475643</v>
      </c>
      <c r="Y110">
        <v>0.70458342613525238</v>
      </c>
      <c r="Z110">
        <v>0.67587298745543678</v>
      </c>
      <c r="AA110">
        <v>0.64768728923075669</v>
      </c>
      <c r="AB110">
        <v>0.62048867569246857</v>
      </c>
      <c r="AC110">
        <v>0.59551546438700531</v>
      </c>
      <c r="AD110">
        <v>0.5726651388800883</v>
      </c>
      <c r="AE110">
        <v>0.55162015655876484</v>
      </c>
      <c r="AF110">
        <v>0.5328760636294978</v>
      </c>
      <c r="AG110">
        <v>0.51677831880907021</v>
      </c>
      <c r="AH110">
        <v>0.50355952864869036</v>
      </c>
      <c r="AI110">
        <v>0.49342382730397699</v>
      </c>
      <c r="AJ110">
        <v>0.48412216914330031</v>
      </c>
      <c r="AK110">
        <v>0.46855223521574307</v>
      </c>
      <c r="AL110">
        <v>0.45352023509050771</v>
      </c>
      <c r="AM110">
        <v>0.44099490791290613</v>
      </c>
      <c r="AN110">
        <v>0.4293879497424129</v>
      </c>
      <c r="AO110">
        <v>0.41930727736787543</v>
      </c>
      <c r="AP110">
        <v>0.41170735344024467</v>
      </c>
      <c r="AQ110">
        <v>0.40615223673071643</v>
      </c>
      <c r="AR110">
        <v>0.39956083359009759</v>
      </c>
      <c r="AS110">
        <v>0.38996648557819502</v>
      </c>
      <c r="AT110">
        <v>0.38333661112897877</v>
      </c>
      <c r="AU110">
        <v>0.38117901289693001</v>
      </c>
      <c r="AV110">
        <v>0.38370993781009671</v>
      </c>
      <c r="AW110">
        <v>0.39435717294608946</v>
      </c>
      <c r="AX110">
        <v>0.41654937382020157</v>
      </c>
      <c r="AY110">
        <v>0.44450903864834768</v>
      </c>
      <c r="AZ110">
        <v>0.48116468638916621</v>
      </c>
      <c r="BA110">
        <v>0.54743644147480452</v>
      </c>
      <c r="BB110">
        <v>0.58506680476260242</v>
      </c>
      <c r="BC110">
        <v>0.59201008623046436</v>
      </c>
      <c r="BD110">
        <v>0.59225951114300135</v>
      </c>
      <c r="BE110">
        <v>0.59789052688525057</v>
      </c>
      <c r="BF110">
        <v>0.60295442287958956</v>
      </c>
      <c r="BG110">
        <v>0.60846809519559975</v>
      </c>
      <c r="BH110">
        <v>0.61607069935905634</v>
      </c>
      <c r="BI110">
        <v>0.62286673870457343</v>
      </c>
      <c r="BJ110">
        <v>0.63619385863949218</v>
      </c>
      <c r="BK110">
        <v>0.65162552128549511</v>
      </c>
      <c r="BL110">
        <v>0.68973429209346193</v>
      </c>
      <c r="BM110">
        <v>0.74333680543375502</v>
      </c>
      <c r="BN110">
        <v>0.77483256079078333</v>
      </c>
      <c r="BO110">
        <v>0.79400694547456974</v>
      </c>
      <c r="BP110">
        <v>0.80446461523828494</v>
      </c>
      <c r="BQ110">
        <v>0.81639499131485205</v>
      </c>
      <c r="BR110">
        <v>0.82543074322013077</v>
      </c>
      <c r="BS110">
        <v>0.84345460467465572</v>
      </c>
      <c r="BT110">
        <v>0.88206779029807847</v>
      </c>
      <c r="BU110">
        <v>0.95304980235627212</v>
      </c>
      <c r="BV110">
        <v>1.0477665841693353</v>
      </c>
      <c r="BW110">
        <v>1.1973646258548183</v>
      </c>
      <c r="BX110">
        <v>1.4214543991412982</v>
      </c>
    </row>
    <row r="111" spans="1:76">
      <c r="A111" t="s">
        <v>232</v>
      </c>
      <c r="B111">
        <v>2008</v>
      </c>
      <c r="C111">
        <v>12</v>
      </c>
      <c r="D111">
        <v>5</v>
      </c>
      <c r="E111">
        <v>10.55</v>
      </c>
      <c r="F111">
        <v>3</v>
      </c>
      <c r="G111">
        <v>0.21598800000000001</v>
      </c>
      <c r="H111">
        <v>1.5088131234764541</v>
      </c>
      <c r="I111">
        <v>2</v>
      </c>
      <c r="J111">
        <v>0.53403695007906349</v>
      </c>
      <c r="K111">
        <v>2.2709045385441997</v>
      </c>
      <c r="L111">
        <v>1.2127469336848475</v>
      </c>
      <c r="M111">
        <v>1.1606692350754697</v>
      </c>
      <c r="N111">
        <v>1.0951567539351741</v>
      </c>
      <c r="O111">
        <v>1.0347371470308193</v>
      </c>
      <c r="P111">
        <v>0.98180368161571807</v>
      </c>
      <c r="Q111">
        <v>0.93171254326480335</v>
      </c>
      <c r="R111">
        <v>0.88516470921302925</v>
      </c>
      <c r="S111">
        <v>0.84476861793077895</v>
      </c>
      <c r="T111">
        <v>0.80688958771168695</v>
      </c>
      <c r="U111">
        <v>0.77100206979739505</v>
      </c>
      <c r="V111">
        <v>0.73330278006839045</v>
      </c>
      <c r="W111">
        <v>0.69706954381283437</v>
      </c>
      <c r="X111">
        <v>0.66421955455887738</v>
      </c>
      <c r="Y111">
        <v>0.63469204899749798</v>
      </c>
      <c r="Z111">
        <v>0.60736382757615104</v>
      </c>
      <c r="AA111">
        <v>0.58055813382818977</v>
      </c>
      <c r="AB111">
        <v>0.55473454839081349</v>
      </c>
      <c r="AC111">
        <v>0.53111836964299142</v>
      </c>
      <c r="AD111">
        <v>0.5095984308294319</v>
      </c>
      <c r="AE111">
        <v>0.48987025245820826</v>
      </c>
      <c r="AF111">
        <v>0.47242678775499192</v>
      </c>
      <c r="AG111">
        <v>0.45760448824017708</v>
      </c>
      <c r="AH111">
        <v>0.44564255357069915</v>
      </c>
      <c r="AI111">
        <v>0.43673297718079795</v>
      </c>
      <c r="AJ111">
        <v>0.4286403474564231</v>
      </c>
      <c r="AK111">
        <v>0.41431035943933958</v>
      </c>
      <c r="AL111">
        <v>0.40050434443051491</v>
      </c>
      <c r="AM111">
        <v>0.38916979079245245</v>
      </c>
      <c r="AN111">
        <v>0.37873480599328813</v>
      </c>
      <c r="AO111">
        <v>0.36979552971431634</v>
      </c>
      <c r="AP111">
        <v>0.36329452422912795</v>
      </c>
      <c r="AQ111">
        <v>0.35880313823678489</v>
      </c>
      <c r="AR111">
        <v>0.35325941427842072</v>
      </c>
      <c r="AS111">
        <v>0.34476106658326899</v>
      </c>
      <c r="AT111">
        <v>0.33914887452163245</v>
      </c>
      <c r="AU111">
        <v>0.33792370507928665</v>
      </c>
      <c r="AV111">
        <v>0.34128523286401513</v>
      </c>
      <c r="AW111">
        <v>0.35260778669274195</v>
      </c>
      <c r="AX111">
        <v>0.37529700369873559</v>
      </c>
      <c r="AY111">
        <v>0.40369996634788952</v>
      </c>
      <c r="AZ111">
        <v>0.44073770404380613</v>
      </c>
      <c r="BA111">
        <v>0.50718531675234835</v>
      </c>
      <c r="BB111">
        <v>0.5453016791681109</v>
      </c>
      <c r="BC111">
        <v>0.55295293453124028</v>
      </c>
      <c r="BD111">
        <v>0.5539488866442509</v>
      </c>
      <c r="BE111">
        <v>0.56028214519887087</v>
      </c>
      <c r="BF111">
        <v>0.56605202706180424</v>
      </c>
      <c r="BG111">
        <v>0.57226162169507133</v>
      </c>
      <c r="BH111">
        <v>0.58053810237332582</v>
      </c>
      <c r="BI111">
        <v>0.58801441647756825</v>
      </c>
      <c r="BJ111">
        <v>0.60197248559996885</v>
      </c>
      <c r="BK111">
        <v>0.61801075601476596</v>
      </c>
      <c r="BL111">
        <v>0.65657352112169598</v>
      </c>
      <c r="BM111">
        <v>0.71051097159048049</v>
      </c>
      <c r="BN111">
        <v>0.74243991567447121</v>
      </c>
      <c r="BO111">
        <v>0.76211633670243684</v>
      </c>
      <c r="BP111">
        <v>0.77317550262810975</v>
      </c>
      <c r="BQ111">
        <v>0.78576618352285232</v>
      </c>
      <c r="BR111">
        <v>0.79553878983719661</v>
      </c>
      <c r="BS111">
        <v>0.81427097765647416</v>
      </c>
      <c r="BT111">
        <v>0.853455347342297</v>
      </c>
      <c r="BU111">
        <v>0.92481371136490365</v>
      </c>
      <c r="BV111">
        <v>1.0197543966684239</v>
      </c>
      <c r="BW111">
        <v>1.1693095067622694</v>
      </c>
      <c r="BX111">
        <v>1.3929805018064512</v>
      </c>
    </row>
    <row r="112" spans="1:76">
      <c r="A112" t="s">
        <v>233</v>
      </c>
      <c r="B112">
        <v>2008</v>
      </c>
      <c r="C112">
        <v>12</v>
      </c>
      <c r="D112">
        <v>5</v>
      </c>
      <c r="E112">
        <v>10.649999999999999</v>
      </c>
      <c r="F112">
        <v>3</v>
      </c>
      <c r="G112">
        <v>0.20508199999999999</v>
      </c>
      <c r="H112">
        <v>1.353029238679019</v>
      </c>
      <c r="I112">
        <v>1.7</v>
      </c>
      <c r="J112">
        <v>0.49109294281358234</v>
      </c>
      <c r="K112">
        <v>2.684295958211151</v>
      </c>
      <c r="L112">
        <v>1.3182388015005191</v>
      </c>
      <c r="M112">
        <v>1.0532034932564471</v>
      </c>
      <c r="N112">
        <v>0.99206582235387586</v>
      </c>
      <c r="O112">
        <v>0.93578323310880851</v>
      </c>
      <c r="P112">
        <v>0.88652407835275659</v>
      </c>
      <c r="Q112">
        <v>0.83998529705620495</v>
      </c>
      <c r="R112">
        <v>0.79679242348643675</v>
      </c>
      <c r="S112">
        <v>0.75932808843743671</v>
      </c>
      <c r="T112">
        <v>0.72424555329378404</v>
      </c>
      <c r="U112">
        <v>0.69110261558905028</v>
      </c>
      <c r="V112">
        <v>0.65632745623561117</v>
      </c>
      <c r="W112">
        <v>0.62298109539613955</v>
      </c>
      <c r="X112">
        <v>0.59266450107831758</v>
      </c>
      <c r="Y112">
        <v>0.56542476137569264</v>
      </c>
      <c r="Z112">
        <v>0.54025632438199267</v>
      </c>
      <c r="AA112">
        <v>0.51560371404890781</v>
      </c>
      <c r="AB112">
        <v>0.49191502935507458</v>
      </c>
      <c r="AC112">
        <v>0.47034311832307069</v>
      </c>
      <c r="AD112">
        <v>0.4506967574838302</v>
      </c>
      <c r="AE112">
        <v>0.43278295251973237</v>
      </c>
      <c r="AF112">
        <v>0.41710704141511667</v>
      </c>
      <c r="AG112">
        <v>0.40396459373607241</v>
      </c>
      <c r="AH112">
        <v>0.39370248040925515</v>
      </c>
      <c r="AI112">
        <v>0.38645978195852893</v>
      </c>
      <c r="AJ112">
        <v>0.38001153352799566</v>
      </c>
      <c r="AK112">
        <v>0.36720195538085804</v>
      </c>
      <c r="AL112">
        <v>0.35483878798452595</v>
      </c>
      <c r="AM112">
        <v>0.34486543865572211</v>
      </c>
      <c r="AN112">
        <v>0.33574896843830726</v>
      </c>
      <c r="AO112">
        <v>0.32806190403317015</v>
      </c>
      <c r="AP112">
        <v>0.32277911819611449</v>
      </c>
      <c r="AQ112">
        <v>0.31952832524754837</v>
      </c>
      <c r="AR112">
        <v>0.31507087050630483</v>
      </c>
      <c r="AS112">
        <v>0.30781541101931631</v>
      </c>
      <c r="AT112">
        <v>0.30321155345244399</v>
      </c>
      <c r="AU112">
        <v>0.30295041872809025</v>
      </c>
      <c r="AV112">
        <v>0.3071425326493098</v>
      </c>
      <c r="AW112">
        <v>0.31911712533553738</v>
      </c>
      <c r="AX112">
        <v>0.34233227920017073</v>
      </c>
      <c r="AY112">
        <v>0.37125067918320048</v>
      </c>
      <c r="AZ112">
        <v>0.40878759468428261</v>
      </c>
      <c r="BA112">
        <v>0.47565202783189053</v>
      </c>
      <c r="BB112">
        <v>0.51427508621079576</v>
      </c>
      <c r="BC112">
        <v>0.52243517810474527</v>
      </c>
      <c r="BD112">
        <v>0.5239458414629079</v>
      </c>
      <c r="BE112">
        <v>0.53078933367101211</v>
      </c>
      <c r="BF112">
        <v>0.53712924641126802</v>
      </c>
      <c r="BG112">
        <v>0.54390115534119221</v>
      </c>
      <c r="BH112">
        <v>0.55271176887210538</v>
      </c>
      <c r="BI112">
        <v>0.56078127518649179</v>
      </c>
      <c r="BJ112">
        <v>0.57527730696739887</v>
      </c>
      <c r="BK112">
        <v>0.5917687475657657</v>
      </c>
      <c r="BL112">
        <v>0.63055845501062002</v>
      </c>
      <c r="BM112">
        <v>0.68430938649686213</v>
      </c>
      <c r="BN112">
        <v>0.71586283137076312</v>
      </c>
      <c r="BO112">
        <v>0.73524756851479367</v>
      </c>
      <c r="BP112">
        <v>0.74656290342833731</v>
      </c>
      <c r="BQ112">
        <v>0.76004019376324528</v>
      </c>
      <c r="BR112">
        <v>0.77129211925824248</v>
      </c>
      <c r="BS112">
        <v>0.79166660518513998</v>
      </c>
      <c r="BT112">
        <v>0.83216307443548487</v>
      </c>
      <c r="BU112">
        <v>0.90446058484461433</v>
      </c>
      <c r="BV112">
        <v>0.99996287552017449</v>
      </c>
      <c r="BW112">
        <v>1.1499767925694426</v>
      </c>
      <c r="BX112">
        <v>1.3738409759464716</v>
      </c>
    </row>
    <row r="113" spans="1:76">
      <c r="A113" t="s">
        <v>234</v>
      </c>
      <c r="B113">
        <v>2008</v>
      </c>
      <c r="C113">
        <v>12</v>
      </c>
      <c r="D113">
        <v>5</v>
      </c>
      <c r="E113">
        <v>10.733333333333333</v>
      </c>
      <c r="F113">
        <v>3</v>
      </c>
      <c r="G113">
        <v>0.206645</v>
      </c>
      <c r="H113">
        <v>1.3239176615761383</v>
      </c>
      <c r="I113">
        <v>1.1000000000000001</v>
      </c>
      <c r="J113">
        <v>0.41803905245915862</v>
      </c>
      <c r="K113">
        <v>4.160105243250154</v>
      </c>
      <c r="L113">
        <v>1.7390864540186719</v>
      </c>
      <c r="M113">
        <v>0.91402498170315327</v>
      </c>
      <c r="N113">
        <v>0.85608402572410092</v>
      </c>
      <c r="O113">
        <v>0.80291590033419546</v>
      </c>
      <c r="P113">
        <v>0.75664320206906999</v>
      </c>
      <c r="Q113">
        <v>0.71303062768821812</v>
      </c>
      <c r="R113">
        <v>0.67268900046928992</v>
      </c>
      <c r="S113">
        <v>0.63795673368580286</v>
      </c>
      <c r="T113">
        <v>0.60554564312857195</v>
      </c>
      <c r="U113">
        <v>0.57503141671206071</v>
      </c>
      <c r="V113">
        <v>0.54289330582018103</v>
      </c>
      <c r="W113">
        <v>0.51215198868533729</v>
      </c>
      <c r="X113">
        <v>0.48434809399367096</v>
      </c>
      <c r="Y113">
        <v>0.45954979081484182</v>
      </c>
      <c r="Z113">
        <v>0.43677715969768027</v>
      </c>
      <c r="AA113">
        <v>0.41450624495944993</v>
      </c>
      <c r="AB113">
        <v>0.39318385310255016</v>
      </c>
      <c r="AC113">
        <v>0.3739425805688486</v>
      </c>
      <c r="AD113">
        <v>0.35657416786023022</v>
      </c>
      <c r="AE113">
        <v>0.34090456202178304</v>
      </c>
      <c r="AF113">
        <v>0.32742948803536742</v>
      </c>
      <c r="AG113">
        <v>0.31642457469141333</v>
      </c>
      <c r="AH113">
        <v>0.30824143611891697</v>
      </c>
      <c r="AI113">
        <v>0.30299552266535312</v>
      </c>
      <c r="AJ113">
        <v>0.29849536594840609</v>
      </c>
      <c r="AK113">
        <v>0.28770622401937468</v>
      </c>
      <c r="AL113">
        <v>0.27732855704644083</v>
      </c>
      <c r="AM113">
        <v>0.26925793603898895</v>
      </c>
      <c r="AN113">
        <v>0.26199727131790285</v>
      </c>
      <c r="AO113">
        <v>0.25609643136030291</v>
      </c>
      <c r="AP113">
        <v>0.2525039991844687</v>
      </c>
      <c r="AQ113">
        <v>0.25086328333814717</v>
      </c>
      <c r="AR113">
        <v>0.24799404802409583</v>
      </c>
      <c r="AS113">
        <v>0.24241224443935872</v>
      </c>
      <c r="AT113">
        <v>0.23933711540012031</v>
      </c>
      <c r="AU113">
        <v>0.24043825075725611</v>
      </c>
      <c r="AV113">
        <v>0.24581020047167162</v>
      </c>
      <c r="AW113">
        <v>0.25869893197010391</v>
      </c>
      <c r="AX113">
        <v>0.28254935953286447</v>
      </c>
      <c r="AY113">
        <v>0.31207097756314633</v>
      </c>
      <c r="AZ113">
        <v>0.35019006146319348</v>
      </c>
      <c r="BA113">
        <v>0.41748665863425571</v>
      </c>
      <c r="BB113">
        <v>0.45700064581989641</v>
      </c>
      <c r="BC113">
        <v>0.4662740639380602</v>
      </c>
      <c r="BD113">
        <v>0.46892696880491191</v>
      </c>
      <c r="BE113">
        <v>0.47687040569696293</v>
      </c>
      <c r="BF113">
        <v>0.48431496756490044</v>
      </c>
      <c r="BG113">
        <v>0.49217911546743237</v>
      </c>
      <c r="BH113">
        <v>0.50205959785804821</v>
      </c>
      <c r="BI113">
        <v>0.51120656650096719</v>
      </c>
      <c r="BJ113">
        <v>0.52673978847306657</v>
      </c>
      <c r="BK113">
        <v>0.54424360408698713</v>
      </c>
      <c r="BL113">
        <v>0.58394146319042928</v>
      </c>
      <c r="BM113">
        <v>0.63850780629035708</v>
      </c>
      <c r="BN113">
        <v>0.67089603078834226</v>
      </c>
      <c r="BO113">
        <v>0.69115002076620047</v>
      </c>
      <c r="BP113">
        <v>0.70344598103019229</v>
      </c>
      <c r="BQ113">
        <v>0.71801502796691508</v>
      </c>
      <c r="BR113">
        <v>0.7304694494067947</v>
      </c>
      <c r="BS113">
        <v>0.75206060502546079</v>
      </c>
      <c r="BT113">
        <v>0.79368300797270852</v>
      </c>
      <c r="BU113">
        <v>0.8669990697877894</v>
      </c>
      <c r="BV113">
        <v>0.96342507870423866</v>
      </c>
      <c r="BW113">
        <v>1.1142884423431647</v>
      </c>
      <c r="BX113">
        <v>1.3388775140332814</v>
      </c>
    </row>
    <row r="114" spans="1:76">
      <c r="A114" t="s">
        <v>235</v>
      </c>
      <c r="B114">
        <v>2008</v>
      </c>
      <c r="C114">
        <v>12</v>
      </c>
      <c r="D114">
        <v>5</v>
      </c>
      <c r="E114">
        <v>10.833333333333334</v>
      </c>
      <c r="F114">
        <v>3</v>
      </c>
      <c r="G114">
        <v>0.215529</v>
      </c>
      <c r="H114">
        <v>1.191076966948684</v>
      </c>
      <c r="I114">
        <v>1.8</v>
      </c>
      <c r="J114">
        <v>0.50222978997784429</v>
      </c>
      <c r="K114">
        <v>2.5311919853966609</v>
      </c>
      <c r="L114">
        <v>1.2712400192193678</v>
      </c>
      <c r="M114">
        <v>1.0969860326391976</v>
      </c>
      <c r="N114">
        <v>1.0325917362646673</v>
      </c>
      <c r="O114">
        <v>0.97339686408080073</v>
      </c>
      <c r="P114">
        <v>0.92127362680458369</v>
      </c>
      <c r="Q114">
        <v>0.87224546063968345</v>
      </c>
      <c r="R114">
        <v>0.82681335280530821</v>
      </c>
      <c r="S114">
        <v>0.78706812057511921</v>
      </c>
      <c r="T114">
        <v>0.74994366353263042</v>
      </c>
      <c r="U114">
        <v>0.71505443661642765</v>
      </c>
      <c r="V114">
        <v>0.67906560352862977</v>
      </c>
      <c r="W114">
        <v>0.64476240062933798</v>
      </c>
      <c r="X114">
        <v>0.61336773857528493</v>
      </c>
      <c r="Y114">
        <v>0.58501521202239015</v>
      </c>
      <c r="Z114">
        <v>0.55880644193422202</v>
      </c>
      <c r="AA114">
        <v>0.53330459610270031</v>
      </c>
      <c r="AB114">
        <v>0.50892373476397723</v>
      </c>
      <c r="AC114">
        <v>0.48671010162887507</v>
      </c>
      <c r="AD114">
        <v>0.46637139218268409</v>
      </c>
      <c r="AE114">
        <v>0.44782264855648157</v>
      </c>
      <c r="AF114">
        <v>0.4315716852856919</v>
      </c>
      <c r="AG114">
        <v>0.41786042089026232</v>
      </c>
      <c r="AH114">
        <v>0.40714640480283637</v>
      </c>
      <c r="AI114">
        <v>0.39951474788032915</v>
      </c>
      <c r="AJ114">
        <v>0.39275560817150956</v>
      </c>
      <c r="AK114">
        <v>0.37958601561347982</v>
      </c>
      <c r="AL114">
        <v>0.36685119224184132</v>
      </c>
      <c r="AM114">
        <v>0.3564938099844791</v>
      </c>
      <c r="AN114">
        <v>0.34701897488120348</v>
      </c>
      <c r="AO114">
        <v>0.33897471106694366</v>
      </c>
      <c r="AP114">
        <v>0.33337876578997966</v>
      </c>
      <c r="AQ114">
        <v>0.32992078810048275</v>
      </c>
      <c r="AR114">
        <v>0.32514109860360352</v>
      </c>
      <c r="AS114">
        <v>0.31775359841384121</v>
      </c>
      <c r="AT114">
        <v>0.31284649580593193</v>
      </c>
      <c r="AU114">
        <v>0.31234154867162689</v>
      </c>
      <c r="AV114">
        <v>0.31625844495117583</v>
      </c>
      <c r="AW114">
        <v>0.32791624502331879</v>
      </c>
      <c r="AX114">
        <v>0.35084250185299048</v>
      </c>
      <c r="AY114">
        <v>0.37951298991367632</v>
      </c>
      <c r="AZ114">
        <v>0.41682163896397545</v>
      </c>
      <c r="BA114">
        <v>0.48343926629444633</v>
      </c>
      <c r="BB114">
        <v>0.5217266219759833</v>
      </c>
      <c r="BC114">
        <v>0.52948674656772976</v>
      </c>
      <c r="BD114">
        <v>0.53061177046871788</v>
      </c>
      <c r="BE114">
        <v>0.53709527990311778</v>
      </c>
      <c r="BF114">
        <v>0.54315626532372663</v>
      </c>
      <c r="BG114">
        <v>0.54965816557723035</v>
      </c>
      <c r="BH114">
        <v>0.55818623333930673</v>
      </c>
      <c r="BI114">
        <v>0.56604893300820924</v>
      </c>
      <c r="BJ114">
        <v>0.5802967673424827</v>
      </c>
      <c r="BK114">
        <v>0.59645929945808085</v>
      </c>
      <c r="BL114">
        <v>0.63468986783490944</v>
      </c>
      <c r="BM114">
        <v>0.68743080355910535</v>
      </c>
      <c r="BN114">
        <v>0.71777543906000163</v>
      </c>
      <c r="BO114">
        <v>0.73605268639896315</v>
      </c>
      <c r="BP114">
        <v>0.74685970013142733</v>
      </c>
      <c r="BQ114">
        <v>0.76051074056235313</v>
      </c>
      <c r="BR114">
        <v>0.77258022130177462</v>
      </c>
      <c r="BS114">
        <v>0.79394714617437678</v>
      </c>
      <c r="BT114">
        <v>0.83507228884242413</v>
      </c>
      <c r="BU114">
        <v>0.90757583591811419</v>
      </c>
      <c r="BV114">
        <v>1.0028607186483098</v>
      </c>
      <c r="BW114">
        <v>1.1524998093900332</v>
      </c>
      <c r="BX114">
        <v>1.3756394505667904</v>
      </c>
    </row>
    <row r="115" spans="1:76">
      <c r="A115" t="s">
        <v>236</v>
      </c>
      <c r="B115">
        <v>2008</v>
      </c>
      <c r="C115">
        <v>12</v>
      </c>
      <c r="D115">
        <v>5</v>
      </c>
      <c r="E115">
        <v>10.966666666666667</v>
      </c>
      <c r="F115">
        <v>3</v>
      </c>
      <c r="G115">
        <v>0.20593800000000001</v>
      </c>
      <c r="H115">
        <v>1.2101762966807128</v>
      </c>
      <c r="I115">
        <v>1.7</v>
      </c>
      <c r="J115">
        <v>0.48710303116988118</v>
      </c>
      <c r="K115">
        <v>2.6845371474350594</v>
      </c>
      <c r="L115">
        <v>1.3076461818037637</v>
      </c>
      <c r="M115">
        <v>1.0466575826530193</v>
      </c>
      <c r="N115">
        <v>0.98536000437005566</v>
      </c>
      <c r="O115">
        <v>0.92899893500875896</v>
      </c>
      <c r="P115">
        <v>0.87949744638591376</v>
      </c>
      <c r="Q115">
        <v>0.83286327368717461</v>
      </c>
      <c r="R115">
        <v>0.78962696197086391</v>
      </c>
      <c r="S115">
        <v>0.75192641194685361</v>
      </c>
      <c r="T115">
        <v>0.71667951326432167</v>
      </c>
      <c r="U115">
        <v>0.68350663853538407</v>
      </c>
      <c r="V115">
        <v>0.64905740465792805</v>
      </c>
      <c r="W115">
        <v>0.6161579261593696</v>
      </c>
      <c r="X115">
        <v>0.58608611732117444</v>
      </c>
      <c r="Y115">
        <v>0.55897523361470658</v>
      </c>
      <c r="Z115">
        <v>0.53392298808179828</v>
      </c>
      <c r="AA115">
        <v>0.50948574629824372</v>
      </c>
      <c r="AB115">
        <v>0.4860883283931372</v>
      </c>
      <c r="AC115">
        <v>0.46479695121013131</v>
      </c>
      <c r="AD115">
        <v>0.44533695417333141</v>
      </c>
      <c r="AE115">
        <v>0.42761519069858633</v>
      </c>
      <c r="AF115">
        <v>0.41214263590219818</v>
      </c>
      <c r="AG115">
        <v>0.39917075537548508</v>
      </c>
      <c r="AH115">
        <v>0.38914561644810641</v>
      </c>
      <c r="AI115">
        <v>0.38215862163690617</v>
      </c>
      <c r="AJ115">
        <v>0.37600040920718414</v>
      </c>
      <c r="AK115">
        <v>0.36341717061904993</v>
      </c>
      <c r="AL115">
        <v>0.35124519601626558</v>
      </c>
      <c r="AM115">
        <v>0.34142473223609571</v>
      </c>
      <c r="AN115">
        <v>0.33245966310053954</v>
      </c>
      <c r="AO115">
        <v>0.32490057566675001</v>
      </c>
      <c r="AP115">
        <v>0.3197571733091874</v>
      </c>
      <c r="AQ115">
        <v>0.31671194846671946</v>
      </c>
      <c r="AR115">
        <v>0.31234462247801398</v>
      </c>
      <c r="AS115">
        <v>0.30534043177110815</v>
      </c>
      <c r="AT115">
        <v>0.30081202466804802</v>
      </c>
      <c r="AU115">
        <v>0.30064420314281703</v>
      </c>
      <c r="AV115">
        <v>0.30486662942127751</v>
      </c>
      <c r="AW115">
        <v>0.3167852850547081</v>
      </c>
      <c r="AX115">
        <v>0.3399086239868363</v>
      </c>
      <c r="AY115">
        <v>0.36874336760058912</v>
      </c>
      <c r="AZ115">
        <v>0.40618319513539369</v>
      </c>
      <c r="BA115">
        <v>0.47285256818770283</v>
      </c>
      <c r="BB115">
        <v>0.51129650356531664</v>
      </c>
      <c r="BC115">
        <v>0.5192981652385007</v>
      </c>
      <c r="BD115">
        <v>0.52067392548993552</v>
      </c>
      <c r="BE115">
        <v>0.52738551355114038</v>
      </c>
      <c r="BF115">
        <v>0.53366076956189445</v>
      </c>
      <c r="BG115">
        <v>0.54036999957680476</v>
      </c>
      <c r="BH115">
        <v>0.54909758049146462</v>
      </c>
      <c r="BI115">
        <v>0.55714848403045913</v>
      </c>
      <c r="BJ115">
        <v>0.57157101008380418</v>
      </c>
      <c r="BK115">
        <v>0.58791063757618645</v>
      </c>
      <c r="BL115">
        <v>0.62629343349050859</v>
      </c>
      <c r="BM115">
        <v>0.67920918564868371</v>
      </c>
      <c r="BN115">
        <v>0.70980054176986029</v>
      </c>
      <c r="BO115">
        <v>0.72833595098275994</v>
      </c>
      <c r="BP115">
        <v>0.73934281761962883</v>
      </c>
      <c r="BQ115">
        <v>0.75310426047474177</v>
      </c>
      <c r="BR115">
        <v>0.76520885751202139</v>
      </c>
      <c r="BS115">
        <v>0.78656911269173913</v>
      </c>
      <c r="BT115">
        <v>0.82768912842525</v>
      </c>
      <c r="BU115">
        <v>0.90017323455527409</v>
      </c>
      <c r="BV115">
        <v>0.99544253891453682</v>
      </c>
      <c r="BW115">
        <v>1.1449745526057169</v>
      </c>
      <c r="BX115">
        <v>1.3679000698646642</v>
      </c>
    </row>
    <row r="116" spans="1:76">
      <c r="A116" t="s">
        <v>237</v>
      </c>
      <c r="B116">
        <v>2008</v>
      </c>
      <c r="C116">
        <v>12</v>
      </c>
      <c r="D116">
        <v>5</v>
      </c>
      <c r="E116">
        <v>11.35</v>
      </c>
      <c r="F116">
        <v>3</v>
      </c>
      <c r="G116">
        <v>0.21923000000000001</v>
      </c>
      <c r="H116">
        <v>1.0582921272458694</v>
      </c>
      <c r="I116">
        <v>1</v>
      </c>
      <c r="J116">
        <v>0.40272491446166364</v>
      </c>
      <c r="K116">
        <v>4.5710450899412747</v>
      </c>
      <c r="L116">
        <v>1.8408737428470074</v>
      </c>
      <c r="M116">
        <v>0.9099074006614265</v>
      </c>
      <c r="N116">
        <v>0.84941715306800858</v>
      </c>
      <c r="O116">
        <v>0.79409494220643562</v>
      </c>
      <c r="P116">
        <v>0.7455802145433621</v>
      </c>
      <c r="Q116">
        <v>0.70020001154200917</v>
      </c>
      <c r="R116">
        <v>0.65836839813679604</v>
      </c>
      <c r="S116">
        <v>0.6219461003465635</v>
      </c>
      <c r="T116">
        <v>0.58812718455173285</v>
      </c>
      <c r="U116">
        <v>0.5565920551006156</v>
      </c>
      <c r="V116">
        <v>0.52422693917001228</v>
      </c>
      <c r="W116">
        <v>0.49359894879141875</v>
      </c>
      <c r="X116">
        <v>0.46562686163101047</v>
      </c>
      <c r="Y116">
        <v>0.4405310534049478</v>
      </c>
      <c r="Z116">
        <v>0.41751807932751317</v>
      </c>
      <c r="AA116">
        <v>0.39526960855287846</v>
      </c>
      <c r="AB116">
        <v>0.37418068487041534</v>
      </c>
      <c r="AC116">
        <v>0.35520979522755786</v>
      </c>
      <c r="AD116">
        <v>0.33798541547575617</v>
      </c>
      <c r="AE116">
        <v>0.32251467343204898</v>
      </c>
      <c r="AF116">
        <v>0.30929499390801335</v>
      </c>
      <c r="AG116">
        <v>0.29851133793511564</v>
      </c>
      <c r="AH116">
        <v>0.29069149492148827</v>
      </c>
      <c r="AI116">
        <v>0.28585662067061846</v>
      </c>
      <c r="AJ116">
        <v>0.2818534486939156</v>
      </c>
      <c r="AK116">
        <v>0.27150388764475025</v>
      </c>
      <c r="AL116">
        <v>0.26152172104198357</v>
      </c>
      <c r="AM116">
        <v>0.2537817690531694</v>
      </c>
      <c r="AN116">
        <v>0.24686191777669808</v>
      </c>
      <c r="AO116">
        <v>0.24126521034910231</v>
      </c>
      <c r="AP116">
        <v>0.2379947971490986</v>
      </c>
      <c r="AQ116">
        <v>0.23679541967397494</v>
      </c>
      <c r="AR116">
        <v>0.2341758753396882</v>
      </c>
      <c r="AS116">
        <v>0.22916601697744493</v>
      </c>
      <c r="AT116">
        <v>0.22633268727771261</v>
      </c>
      <c r="AU116">
        <v>0.22768698245260249</v>
      </c>
      <c r="AV116">
        <v>0.23317759647872333</v>
      </c>
      <c r="AW116">
        <v>0.24599476480657906</v>
      </c>
      <c r="AX116">
        <v>0.26967666175528027</v>
      </c>
      <c r="AY116">
        <v>0.29906271763836539</v>
      </c>
      <c r="AZ116">
        <v>0.33704782789997845</v>
      </c>
      <c r="BA116">
        <v>0.40406750537892733</v>
      </c>
      <c r="BB116">
        <v>0.44339723004249121</v>
      </c>
      <c r="BC116">
        <v>0.45252266279510378</v>
      </c>
      <c r="BD116">
        <v>0.4550703010707482</v>
      </c>
      <c r="BE116">
        <v>0.4629204886740893</v>
      </c>
      <c r="BF116">
        <v>0.47040060916991816</v>
      </c>
      <c r="BG116">
        <v>0.47830675642191017</v>
      </c>
      <c r="BH116">
        <v>0.48819516712236588</v>
      </c>
      <c r="BI116">
        <v>0.49747287044674843</v>
      </c>
      <c r="BJ116">
        <v>0.51304313391893763</v>
      </c>
      <c r="BK116">
        <v>0.53044149770633187</v>
      </c>
      <c r="BL116">
        <v>0.56958870201183553</v>
      </c>
      <c r="BM116">
        <v>0.62282570529188874</v>
      </c>
      <c r="BN116">
        <v>0.65361065040673516</v>
      </c>
      <c r="BO116">
        <v>0.6724544731941946</v>
      </c>
      <c r="BP116">
        <v>0.68435020062932994</v>
      </c>
      <c r="BQ116">
        <v>0.69964520120444829</v>
      </c>
      <c r="BR116">
        <v>0.71389807509857517</v>
      </c>
      <c r="BS116">
        <v>0.73755739301369994</v>
      </c>
      <c r="BT116">
        <v>0.78060143146612893</v>
      </c>
      <c r="BU116">
        <v>0.85457452871166961</v>
      </c>
      <c r="BV116">
        <v>0.95090974616144652</v>
      </c>
      <c r="BW116">
        <v>1.101318733329441</v>
      </c>
      <c r="BX116">
        <v>1.3247340020974567</v>
      </c>
    </row>
    <row r="117" spans="1:76">
      <c r="A117" t="s">
        <v>226</v>
      </c>
      <c r="B117">
        <v>2008</v>
      </c>
      <c r="C117">
        <v>10</v>
      </c>
      <c r="D117">
        <v>29</v>
      </c>
      <c r="E117">
        <v>10.233333333333333</v>
      </c>
      <c r="F117">
        <v>3</v>
      </c>
      <c r="G117">
        <v>0.29344599999999998</v>
      </c>
      <c r="H117">
        <v>4.923891623655595</v>
      </c>
      <c r="I117">
        <v>4.4000000000000004</v>
      </c>
      <c r="J117">
        <v>0.8655124200341171</v>
      </c>
      <c r="K117">
        <v>1.0066226860535727</v>
      </c>
      <c r="L117">
        <v>0.87124443706747101</v>
      </c>
      <c r="M117">
        <v>1.9971538762572991</v>
      </c>
      <c r="N117">
        <v>1.9041464926573308</v>
      </c>
      <c r="O117">
        <v>1.8168090803544621</v>
      </c>
      <c r="P117">
        <v>1.7415530012828158</v>
      </c>
      <c r="Q117">
        <v>1.6683404834021025</v>
      </c>
      <c r="R117">
        <v>1.5993637752811367</v>
      </c>
      <c r="S117">
        <v>1.5412262923062134</v>
      </c>
      <c r="T117">
        <v>1.4857056465758145</v>
      </c>
      <c r="U117">
        <v>1.4310668847012133</v>
      </c>
      <c r="V117">
        <v>1.3698242248575245</v>
      </c>
      <c r="W117">
        <v>1.3090650797370487</v>
      </c>
      <c r="X117">
        <v>1.2561999810434863</v>
      </c>
      <c r="Y117">
        <v>1.2095031781081591</v>
      </c>
      <c r="Z117">
        <v>1.1660267870873604</v>
      </c>
      <c r="AA117">
        <v>1.1222184635743158</v>
      </c>
      <c r="AB117">
        <v>1.0788631903055517</v>
      </c>
      <c r="AC117">
        <v>1.0385037032932298</v>
      </c>
      <c r="AD117">
        <v>1.0024050105278688</v>
      </c>
      <c r="AE117">
        <v>0.96849160764029552</v>
      </c>
      <c r="AF117">
        <v>0.93706099954794064</v>
      </c>
      <c r="AG117">
        <v>0.90910048289909473</v>
      </c>
      <c r="AH117">
        <v>0.88306443389959888</v>
      </c>
      <c r="AI117">
        <v>0.85990262502830772</v>
      </c>
      <c r="AJ117">
        <v>0.8373110695593784</v>
      </c>
      <c r="AK117">
        <v>0.81060327279574607</v>
      </c>
      <c r="AL117">
        <v>0.78530680241952067</v>
      </c>
      <c r="AM117">
        <v>0.76319797169276504</v>
      </c>
      <c r="AN117">
        <v>0.74222008864536648</v>
      </c>
      <c r="AO117">
        <v>0.72326260420869559</v>
      </c>
      <c r="AP117">
        <v>0.70655125330279744</v>
      </c>
      <c r="AQ117">
        <v>0.69073349526725658</v>
      </c>
      <c r="AR117">
        <v>0.67624073321139933</v>
      </c>
      <c r="AS117">
        <v>0.65635138215925148</v>
      </c>
      <c r="AT117">
        <v>0.6424499970755595</v>
      </c>
      <c r="AU117">
        <v>0.63247431920430697</v>
      </c>
      <c r="AV117">
        <v>0.62811380600242783</v>
      </c>
      <c r="AW117">
        <v>0.63295389932854218</v>
      </c>
      <c r="AX117">
        <v>0.64919630166553044</v>
      </c>
      <c r="AY117">
        <v>0.67069453464606754</v>
      </c>
      <c r="AZ117">
        <v>0.70041772970932947</v>
      </c>
      <c r="BA117">
        <v>0.75864397944653095</v>
      </c>
      <c r="BB117">
        <v>0.79073467814901099</v>
      </c>
      <c r="BC117">
        <v>0.79498023760076353</v>
      </c>
      <c r="BD117">
        <v>0.79289154015974828</v>
      </c>
      <c r="BE117">
        <v>0.79566933817661656</v>
      </c>
      <c r="BF117">
        <v>0.79679612946655842</v>
      </c>
      <c r="BG117">
        <v>0.79836901484404621</v>
      </c>
      <c r="BH117">
        <v>0.80225760497230447</v>
      </c>
      <c r="BI117">
        <v>0.80431337562753857</v>
      </c>
      <c r="BJ117">
        <v>0.81328944534685133</v>
      </c>
      <c r="BK117">
        <v>0.82562647990145765</v>
      </c>
      <c r="BL117">
        <v>0.8628956383107782</v>
      </c>
      <c r="BM117">
        <v>0.92179122380590228</v>
      </c>
      <c r="BN117">
        <v>0.96329500201916973</v>
      </c>
      <c r="BO117">
        <v>0.99178707950082257</v>
      </c>
      <c r="BP117">
        <v>1.0026963321879379</v>
      </c>
      <c r="BQ117">
        <v>1.0041779898843342</v>
      </c>
      <c r="BR117">
        <v>0.99278226216734433</v>
      </c>
      <c r="BS117">
        <v>0.98700156282853269</v>
      </c>
      <c r="BT117">
        <v>1.006182603340835</v>
      </c>
      <c r="BU117">
        <v>1.0621725412519309</v>
      </c>
      <c r="BV117">
        <v>1.1469500395150038</v>
      </c>
      <c r="BW117">
        <v>1.2851481826897211</v>
      </c>
      <c r="BX117">
        <v>1.4980112724672046</v>
      </c>
    </row>
    <row r="118" spans="1:76">
      <c r="A118" t="s">
        <v>227</v>
      </c>
      <c r="B118">
        <v>2008</v>
      </c>
      <c r="C118">
        <v>10</v>
      </c>
      <c r="D118">
        <v>29</v>
      </c>
      <c r="E118">
        <v>10.283333333333333</v>
      </c>
      <c r="F118">
        <v>3</v>
      </c>
      <c r="G118">
        <v>0.28195799999999999</v>
      </c>
      <c r="H118">
        <v>4.7895118517572479</v>
      </c>
      <c r="I118">
        <v>4.5999999999999996</v>
      </c>
      <c r="J118">
        <v>0.88344901959631983</v>
      </c>
      <c r="K118">
        <v>0.95940495878930132</v>
      </c>
      <c r="L118">
        <v>0.84758537023825586</v>
      </c>
      <c r="M118">
        <v>2.0081978469420116</v>
      </c>
      <c r="N118">
        <v>1.9168029748098667</v>
      </c>
      <c r="O118">
        <v>1.8309091702788631</v>
      </c>
      <c r="P118">
        <v>1.7567968767982651</v>
      </c>
      <c r="Q118">
        <v>1.6846418441655153</v>
      </c>
      <c r="R118">
        <v>1.6165951289955622</v>
      </c>
      <c r="S118">
        <v>1.5591247022444983</v>
      </c>
      <c r="T118">
        <v>1.5041877278874325</v>
      </c>
      <c r="U118">
        <v>1.4501021046889928</v>
      </c>
      <c r="V118">
        <v>1.389529382180017</v>
      </c>
      <c r="W118">
        <v>1.3294222297564295</v>
      </c>
      <c r="X118">
        <v>1.276999525544519</v>
      </c>
      <c r="Y118">
        <v>1.2305996042668872</v>
      </c>
      <c r="Z118">
        <v>1.1873463116836778</v>
      </c>
      <c r="AA118">
        <v>1.1437619680352444</v>
      </c>
      <c r="AB118">
        <v>1.1006229086639492</v>
      </c>
      <c r="AC118">
        <v>1.060424592788372</v>
      </c>
      <c r="AD118">
        <v>1.0243866694841481</v>
      </c>
      <c r="AE118">
        <v>0.99049851565003155</v>
      </c>
      <c r="AF118">
        <v>0.95906501164097291</v>
      </c>
      <c r="AG118">
        <v>0.93105079071188457</v>
      </c>
      <c r="AH118">
        <v>0.90497236884819499</v>
      </c>
      <c r="AI118">
        <v>0.88175495154915984</v>
      </c>
      <c r="AJ118">
        <v>0.85910634835208999</v>
      </c>
      <c r="AK118">
        <v>0.83227937438016353</v>
      </c>
      <c r="AL118">
        <v>0.80682422238233964</v>
      </c>
      <c r="AM118">
        <v>0.78451898033348288</v>
      </c>
      <c r="AN118">
        <v>0.76332964349075927</v>
      </c>
      <c r="AO118">
        <v>0.74413499410596007</v>
      </c>
      <c r="AP118">
        <v>0.72718458431179189</v>
      </c>
      <c r="AQ118">
        <v>0.71116064551491553</v>
      </c>
      <c r="AR118">
        <v>0.69638304276483787</v>
      </c>
      <c r="AS118">
        <v>0.67629252977153631</v>
      </c>
      <c r="AT118">
        <v>0.66208298821211131</v>
      </c>
      <c r="AU118">
        <v>0.65181479126140307</v>
      </c>
      <c r="AV118">
        <v>0.64713227668767748</v>
      </c>
      <c r="AW118">
        <v>0.65161799215071692</v>
      </c>
      <c r="AX118">
        <v>0.66751462698787623</v>
      </c>
      <c r="AY118">
        <v>0.68868703064655756</v>
      </c>
      <c r="AZ118">
        <v>0.71809597384023149</v>
      </c>
      <c r="BA118">
        <v>0.77600743593761501</v>
      </c>
      <c r="BB118">
        <v>0.80772423032997365</v>
      </c>
      <c r="BC118">
        <v>0.81154529379548979</v>
      </c>
      <c r="BD118">
        <v>0.80903383480177959</v>
      </c>
      <c r="BE118">
        <v>0.81140214062803095</v>
      </c>
      <c r="BF118">
        <v>0.81216174239447758</v>
      </c>
      <c r="BG118">
        <v>0.81337030622272588</v>
      </c>
      <c r="BH118">
        <v>0.81688652006329643</v>
      </c>
      <c r="BI118">
        <v>0.81861025126079656</v>
      </c>
      <c r="BJ118">
        <v>0.82723265457467288</v>
      </c>
      <c r="BK118">
        <v>0.83917049655207165</v>
      </c>
      <c r="BL118">
        <v>0.87591999579695723</v>
      </c>
      <c r="BM118">
        <v>0.93404664840103102</v>
      </c>
      <c r="BN118">
        <v>0.97465823063824875</v>
      </c>
      <c r="BO118">
        <v>1.0023090532660337</v>
      </c>
      <c r="BP118">
        <v>1.0127107234187773</v>
      </c>
      <c r="BQ118">
        <v>1.0140695730548415</v>
      </c>
      <c r="BR118">
        <v>1.0029129983119007</v>
      </c>
      <c r="BS118">
        <v>0.99747391148130327</v>
      </c>
      <c r="BT118">
        <v>1.0167996885757986</v>
      </c>
      <c r="BU118">
        <v>1.0727084614748399</v>
      </c>
      <c r="BV118">
        <v>1.1571743383791204</v>
      </c>
      <c r="BW118">
        <v>1.2949929053001366</v>
      </c>
      <c r="BX118">
        <v>1.5073074183424806</v>
      </c>
    </row>
    <row r="119" spans="1:76">
      <c r="A119" t="s">
        <v>228</v>
      </c>
      <c r="B119">
        <v>2008</v>
      </c>
      <c r="C119">
        <v>10</v>
      </c>
      <c r="D119">
        <v>29</v>
      </c>
      <c r="E119">
        <v>10.483333333333333</v>
      </c>
      <c r="F119">
        <v>3</v>
      </c>
      <c r="G119">
        <v>0.31495699999999999</v>
      </c>
      <c r="H119">
        <v>4.5131130373419204</v>
      </c>
      <c r="I119">
        <v>4.2</v>
      </c>
      <c r="J119">
        <v>0.84035523857828942</v>
      </c>
      <c r="K119">
        <v>1.057695585177278</v>
      </c>
      <c r="L119">
        <v>0.88884002582485488</v>
      </c>
      <c r="M119">
        <v>1.9897386864814923</v>
      </c>
      <c r="N119">
        <v>1.8927730018851925</v>
      </c>
      <c r="O119">
        <v>1.8020429875878221</v>
      </c>
      <c r="P119">
        <v>1.7234381897467252</v>
      </c>
      <c r="Q119">
        <v>1.6474977364289953</v>
      </c>
      <c r="R119">
        <v>1.5761951705911861</v>
      </c>
      <c r="S119">
        <v>1.5156249938248307</v>
      </c>
      <c r="T119">
        <v>1.4580596418840783</v>
      </c>
      <c r="U119">
        <v>1.401864519231679</v>
      </c>
      <c r="V119">
        <v>1.3399630899570889</v>
      </c>
      <c r="W119">
        <v>1.2789615774284202</v>
      </c>
      <c r="X119">
        <v>1.2256179863844503</v>
      </c>
      <c r="Y119">
        <v>1.1783623933175242</v>
      </c>
      <c r="Z119">
        <v>1.1344336154538546</v>
      </c>
      <c r="AA119">
        <v>1.0904810375099898</v>
      </c>
      <c r="AB119">
        <v>1.0472295776381868</v>
      </c>
      <c r="AC119">
        <v>1.0070412825685877</v>
      </c>
      <c r="AD119">
        <v>0.97101215675579156</v>
      </c>
      <c r="AE119">
        <v>0.93724762649831916</v>
      </c>
      <c r="AF119">
        <v>0.9060463369337326</v>
      </c>
      <c r="AG119">
        <v>0.87830444355725201</v>
      </c>
      <c r="AH119">
        <v>0.85265475153007764</v>
      </c>
      <c r="AI119">
        <v>0.82995445358440167</v>
      </c>
      <c r="AJ119">
        <v>0.80792932369954196</v>
      </c>
      <c r="AK119">
        <v>0.78170918788730992</v>
      </c>
      <c r="AL119">
        <v>0.75686559588973901</v>
      </c>
      <c r="AM119">
        <v>0.73516517878045728</v>
      </c>
      <c r="AN119">
        <v>0.71461915940022802</v>
      </c>
      <c r="AO119">
        <v>0.69607304378472312</v>
      </c>
      <c r="AP119">
        <v>0.67981674823548666</v>
      </c>
      <c r="AQ119">
        <v>0.66460301271745337</v>
      </c>
      <c r="AR119">
        <v>0.65051205116744382</v>
      </c>
      <c r="AS119">
        <v>0.63135460215782313</v>
      </c>
      <c r="AT119">
        <v>0.61785979908258892</v>
      </c>
      <c r="AU119">
        <v>0.60834239124668088</v>
      </c>
      <c r="AV119">
        <v>0.60433076381342421</v>
      </c>
      <c r="AW119">
        <v>0.60936529855188404</v>
      </c>
      <c r="AX119">
        <v>0.62575632770266865</v>
      </c>
      <c r="AY119">
        <v>0.64744544853943675</v>
      </c>
      <c r="AZ119">
        <v>0.67736856973719017</v>
      </c>
      <c r="BA119">
        <v>0.73569522404753074</v>
      </c>
      <c r="BB119">
        <v>0.76786253546595162</v>
      </c>
      <c r="BC119">
        <v>0.77214200276024325</v>
      </c>
      <c r="BD119">
        <v>0.77011722389150694</v>
      </c>
      <c r="BE119">
        <v>0.77298349790789389</v>
      </c>
      <c r="BF119">
        <v>0.77433470480972755</v>
      </c>
      <c r="BG119">
        <v>0.77613885722709952</v>
      </c>
      <c r="BH119">
        <v>0.78022534307372204</v>
      </c>
      <c r="BI119">
        <v>0.78260760447895028</v>
      </c>
      <c r="BJ119">
        <v>0.79182060846297064</v>
      </c>
      <c r="BK119">
        <v>0.80424416830816692</v>
      </c>
      <c r="BL119">
        <v>0.84116175148794103</v>
      </c>
      <c r="BM119">
        <v>0.8988978390296809</v>
      </c>
      <c r="BN119">
        <v>0.9389139108284974</v>
      </c>
      <c r="BO119">
        <v>0.96610426339237865</v>
      </c>
      <c r="BP119">
        <v>0.97677131671156381</v>
      </c>
      <c r="BQ119">
        <v>0.97920883669443237</v>
      </c>
      <c r="BR119">
        <v>0.96990399407581152</v>
      </c>
      <c r="BS119">
        <v>0.96651401776165957</v>
      </c>
      <c r="BT119">
        <v>0.98742712336813476</v>
      </c>
      <c r="BU119">
        <v>1.0443802768227726</v>
      </c>
      <c r="BV119">
        <v>1.1293578461304312</v>
      </c>
      <c r="BW119">
        <v>1.2674456852511631</v>
      </c>
      <c r="BX119">
        <v>1.4795376136959004</v>
      </c>
    </row>
    <row r="120" spans="1:76">
      <c r="A120" t="s">
        <v>229</v>
      </c>
      <c r="B120">
        <v>2008</v>
      </c>
      <c r="C120">
        <v>10</v>
      </c>
      <c r="D120">
        <v>29</v>
      </c>
      <c r="E120">
        <v>10.649999999999999</v>
      </c>
      <c r="F120">
        <v>3</v>
      </c>
      <c r="G120">
        <v>0.285385</v>
      </c>
      <c r="H120">
        <v>4.823080416671619</v>
      </c>
      <c r="I120">
        <v>4.2</v>
      </c>
      <c r="J120">
        <v>0.83698482764608706</v>
      </c>
      <c r="K120">
        <v>1.0573246116134423</v>
      </c>
      <c r="L120">
        <v>0.88496465781724287</v>
      </c>
      <c r="M120">
        <v>1.9144086014123085</v>
      </c>
      <c r="N120">
        <v>1.8251771390050633</v>
      </c>
      <c r="O120">
        <v>1.7413853427349029</v>
      </c>
      <c r="P120">
        <v>1.6693004001788583</v>
      </c>
      <c r="Q120">
        <v>1.5991224448046144</v>
      </c>
      <c r="R120">
        <v>1.5329988378853145</v>
      </c>
      <c r="S120">
        <v>1.4773823392006584</v>
      </c>
      <c r="T120">
        <v>1.4242496180524151</v>
      </c>
      <c r="U120">
        <v>1.3719200693130018</v>
      </c>
      <c r="V120">
        <v>1.3130774419601272</v>
      </c>
      <c r="W120">
        <v>1.2546534712403195</v>
      </c>
      <c r="X120">
        <v>1.2038616597138168</v>
      </c>
      <c r="Y120">
        <v>1.1590393973959965</v>
      </c>
      <c r="Z120">
        <v>1.1173160471309878</v>
      </c>
      <c r="AA120">
        <v>1.0752214667604263</v>
      </c>
      <c r="AB120">
        <v>1.0335297503168395</v>
      </c>
      <c r="AC120">
        <v>0.99473187115825268</v>
      </c>
      <c r="AD120">
        <v>0.96005404960839569</v>
      </c>
      <c r="AE120">
        <v>0.92748543050202514</v>
      </c>
      <c r="AF120">
        <v>0.89733067903309882</v>
      </c>
      <c r="AG120">
        <v>0.87055762632218614</v>
      </c>
      <c r="AH120">
        <v>0.84567835257490043</v>
      </c>
      <c r="AI120">
        <v>0.82362270973249285</v>
      </c>
      <c r="AJ120">
        <v>0.80210986733870471</v>
      </c>
      <c r="AK120">
        <v>0.77643195852076718</v>
      </c>
      <c r="AL120">
        <v>0.75210792658570946</v>
      </c>
      <c r="AM120">
        <v>0.73090969178776044</v>
      </c>
      <c r="AN120">
        <v>0.71080917803621047</v>
      </c>
      <c r="AO120">
        <v>0.69268493468425807</v>
      </c>
      <c r="AP120">
        <v>0.67677988274209677</v>
      </c>
      <c r="AQ120">
        <v>0.66177446680166518</v>
      </c>
      <c r="AR120">
        <v>0.64801515800921106</v>
      </c>
      <c r="AS120">
        <v>0.62894000441517806</v>
      </c>
      <c r="AT120">
        <v>0.61572800383408943</v>
      </c>
      <c r="AU120">
        <v>0.60641619678604708</v>
      </c>
      <c r="AV120">
        <v>0.60264445484214224</v>
      </c>
      <c r="AW120">
        <v>0.60796302500253607</v>
      </c>
      <c r="AX120">
        <v>0.62457766567907091</v>
      </c>
      <c r="AY120">
        <v>0.64639302833935486</v>
      </c>
      <c r="AZ120">
        <v>0.67635024314586223</v>
      </c>
      <c r="BA120">
        <v>0.73455791761840006</v>
      </c>
      <c r="BB120">
        <v>0.76678302399217912</v>
      </c>
      <c r="BC120">
        <v>0.77133805732919547</v>
      </c>
      <c r="BD120">
        <v>0.76960092630291999</v>
      </c>
      <c r="BE120">
        <v>0.77269077135004527</v>
      </c>
      <c r="BF120">
        <v>0.77416523298861117</v>
      </c>
      <c r="BG120">
        <v>0.77607558596449255</v>
      </c>
      <c r="BH120">
        <v>0.78026857002629546</v>
      </c>
      <c r="BI120">
        <v>0.78266606793489168</v>
      </c>
      <c r="BJ120">
        <v>0.79190509223663019</v>
      </c>
      <c r="BK120">
        <v>0.8044375833203129</v>
      </c>
      <c r="BL120">
        <v>0.84160492949166166</v>
      </c>
      <c r="BM120">
        <v>0.90003931804649362</v>
      </c>
      <c r="BN120">
        <v>0.94112774596002369</v>
      </c>
      <c r="BO120">
        <v>0.96934087601077235</v>
      </c>
      <c r="BP120">
        <v>0.98035200555148139</v>
      </c>
      <c r="BQ120">
        <v>0.98229114116470262</v>
      </c>
      <c r="BR120">
        <v>0.97171956165292006</v>
      </c>
      <c r="BS120">
        <v>0.96679128979965179</v>
      </c>
      <c r="BT120">
        <v>0.98647928215699177</v>
      </c>
      <c r="BU120">
        <v>1.0425177233914298</v>
      </c>
      <c r="BV120">
        <v>1.126946008188946</v>
      </c>
      <c r="BW120">
        <v>1.2643271068392181</v>
      </c>
      <c r="BX120">
        <v>1.4756652836437949</v>
      </c>
    </row>
    <row r="121" spans="1:76">
      <c r="A121" t="s">
        <v>230</v>
      </c>
      <c r="B121">
        <v>2008</v>
      </c>
      <c r="C121">
        <v>10</v>
      </c>
      <c r="D121">
        <v>29</v>
      </c>
      <c r="E121">
        <v>10.733333333333333</v>
      </c>
      <c r="F121">
        <v>3</v>
      </c>
      <c r="G121">
        <v>0.29424899999999998</v>
      </c>
      <c r="H121">
        <v>5.0435825464676283</v>
      </c>
      <c r="I121">
        <v>3.9</v>
      </c>
      <c r="J121">
        <v>0.8072272565894214</v>
      </c>
      <c r="K121">
        <v>1.1447976872979351</v>
      </c>
      <c r="L121">
        <v>0.92411189646742642</v>
      </c>
      <c r="M121">
        <v>1.8714882385372569</v>
      </c>
      <c r="N121">
        <v>1.7821728606506793</v>
      </c>
      <c r="O121">
        <v>1.6983386287230307</v>
      </c>
      <c r="P121">
        <v>1.6264637752241755</v>
      </c>
      <c r="Q121">
        <v>1.5564531564302899</v>
      </c>
      <c r="R121">
        <v>1.4905302168785934</v>
      </c>
      <c r="S121">
        <v>1.4353599022121477</v>
      </c>
      <c r="T121">
        <v>1.3826684155947571</v>
      </c>
      <c r="U121">
        <v>1.3307073010810577</v>
      </c>
      <c r="V121">
        <v>1.2719573419769259</v>
      </c>
      <c r="W121">
        <v>1.2135543713165811</v>
      </c>
      <c r="X121">
        <v>1.1630077810990909</v>
      </c>
      <c r="Y121">
        <v>1.1185653490362446</v>
      </c>
      <c r="Z121">
        <v>1.0772572495493087</v>
      </c>
      <c r="AA121">
        <v>1.035509975881429</v>
      </c>
      <c r="AB121">
        <v>0.99411543910861833</v>
      </c>
      <c r="AC121">
        <v>0.95563913330924599</v>
      </c>
      <c r="AD121">
        <v>0.92138297271760849</v>
      </c>
      <c r="AE121">
        <v>0.88924190497107669</v>
      </c>
      <c r="AF121">
        <v>0.85951271163814458</v>
      </c>
      <c r="AG121">
        <v>0.83320148576807784</v>
      </c>
      <c r="AH121">
        <v>0.80872707987667036</v>
      </c>
      <c r="AI121">
        <v>0.78706045223131249</v>
      </c>
      <c r="AJ121">
        <v>0.76591063308114371</v>
      </c>
      <c r="AK121">
        <v>0.74068230844327254</v>
      </c>
      <c r="AL121">
        <v>0.71684623504235612</v>
      </c>
      <c r="AM121">
        <v>0.69616936360396131</v>
      </c>
      <c r="AN121">
        <v>0.67659395497840635</v>
      </c>
      <c r="AO121">
        <v>0.65901513770192066</v>
      </c>
      <c r="AP121">
        <v>0.64363777678149281</v>
      </c>
      <c r="AQ121">
        <v>0.62909075216852872</v>
      </c>
      <c r="AR121">
        <v>0.61590167521617423</v>
      </c>
      <c r="AS121">
        <v>0.5972639024071138</v>
      </c>
      <c r="AT121">
        <v>0.5846366405798058</v>
      </c>
      <c r="AU121">
        <v>0.57586398394427896</v>
      </c>
      <c r="AV121">
        <v>0.57265440104188281</v>
      </c>
      <c r="AW121">
        <v>0.57855232679817914</v>
      </c>
      <c r="AX121">
        <v>0.59568969849520925</v>
      </c>
      <c r="AY121">
        <v>0.61797022597876616</v>
      </c>
      <c r="AZ121">
        <v>0.64833973741747042</v>
      </c>
      <c r="BA121">
        <v>0.70686181412484927</v>
      </c>
      <c r="BB121">
        <v>0.73957269783224699</v>
      </c>
      <c r="BC121">
        <v>0.7447804603850483</v>
      </c>
      <c r="BD121">
        <v>0.74370994375502408</v>
      </c>
      <c r="BE121">
        <v>0.74742576725152809</v>
      </c>
      <c r="BF121">
        <v>0.74946003921742943</v>
      </c>
      <c r="BG121">
        <v>0.75192136205360049</v>
      </c>
      <c r="BH121">
        <v>0.75666834680070694</v>
      </c>
      <c r="BI121">
        <v>0.75955829154812182</v>
      </c>
      <c r="BJ121">
        <v>0.76930056151436255</v>
      </c>
      <c r="BK121">
        <v>0.78239717424235322</v>
      </c>
      <c r="BL121">
        <v>0.82023975338449229</v>
      </c>
      <c r="BM121">
        <v>0.87968032512442695</v>
      </c>
      <c r="BN121">
        <v>0.92203076210674872</v>
      </c>
      <c r="BO121">
        <v>0.95146491030874725</v>
      </c>
      <c r="BP121">
        <v>0.96321301314291163</v>
      </c>
      <c r="BQ121">
        <v>0.96529595750653563</v>
      </c>
      <c r="BR121">
        <v>0.95432377341066188</v>
      </c>
      <c r="BS121">
        <v>0.94880966403992906</v>
      </c>
      <c r="BT121">
        <v>0.9681477436742818</v>
      </c>
      <c r="BU121">
        <v>1.0240801321178248</v>
      </c>
      <c r="BV121">
        <v>1.1086800080150137</v>
      </c>
      <c r="BW121">
        <v>1.2461659164226162</v>
      </c>
      <c r="BX121">
        <v>1.4576357715159811</v>
      </c>
    </row>
    <row r="122" spans="1:76">
      <c r="A122" t="s">
        <v>231</v>
      </c>
      <c r="B122">
        <v>2008</v>
      </c>
      <c r="C122">
        <v>10</v>
      </c>
      <c r="D122">
        <v>29</v>
      </c>
      <c r="E122">
        <v>10.866666666666667</v>
      </c>
      <c r="F122">
        <v>3</v>
      </c>
      <c r="G122">
        <v>0.26777699999999999</v>
      </c>
      <c r="H122">
        <v>4.5425279485106929</v>
      </c>
      <c r="I122">
        <v>3.6</v>
      </c>
      <c r="J122">
        <v>0.76209554850986361</v>
      </c>
      <c r="K122">
        <v>1.2428902173567542</v>
      </c>
      <c r="L122">
        <v>0.94720110193403917</v>
      </c>
      <c r="M122">
        <v>1.7177772575125212</v>
      </c>
      <c r="N122">
        <v>1.636259242453951</v>
      </c>
      <c r="O122">
        <v>1.5597597536686401</v>
      </c>
      <c r="P122">
        <v>1.4942637015777913</v>
      </c>
      <c r="Q122">
        <v>1.4304212433989865</v>
      </c>
      <c r="R122">
        <v>1.370289236723778</v>
      </c>
      <c r="S122">
        <v>1.3200314510070594</v>
      </c>
      <c r="T122">
        <v>1.2720036009334561</v>
      </c>
      <c r="U122">
        <v>1.2246349505675194</v>
      </c>
      <c r="V122">
        <v>1.1709168943636898</v>
      </c>
      <c r="W122">
        <v>1.117493174622439</v>
      </c>
      <c r="X122">
        <v>1.0711767842253854</v>
      </c>
      <c r="Y122">
        <v>1.0304424676164841</v>
      </c>
      <c r="Z122">
        <v>0.99257093230864091</v>
      </c>
      <c r="AA122">
        <v>0.95424492080279832</v>
      </c>
      <c r="AB122">
        <v>0.91622024749294573</v>
      </c>
      <c r="AC122">
        <v>0.88089696484534574</v>
      </c>
      <c r="AD122">
        <v>0.84941674535183431</v>
      </c>
      <c r="AE122">
        <v>0.81990498920166055</v>
      </c>
      <c r="AF122">
        <v>0.79268866831518181</v>
      </c>
      <c r="AG122">
        <v>0.76870108740577425</v>
      </c>
      <c r="AH122">
        <v>0.74658519384361521</v>
      </c>
      <c r="AI122">
        <v>0.7272287994347103</v>
      </c>
      <c r="AJ122">
        <v>0.70836518497551393</v>
      </c>
      <c r="AK122">
        <v>0.68513523722398417</v>
      </c>
      <c r="AL122">
        <v>0.66314307725647126</v>
      </c>
      <c r="AM122">
        <v>0.64417911954221863</v>
      </c>
      <c r="AN122">
        <v>0.62625238137363959</v>
      </c>
      <c r="AO122">
        <v>0.61022651974865361</v>
      </c>
      <c r="AP122">
        <v>0.59639610632883844</v>
      </c>
      <c r="AQ122">
        <v>0.58350657885174118</v>
      </c>
      <c r="AR122">
        <v>0.57166798993268131</v>
      </c>
      <c r="AS122">
        <v>0.55465895362990358</v>
      </c>
      <c r="AT122">
        <v>0.54326628327056381</v>
      </c>
      <c r="AU122">
        <v>0.53576919233883036</v>
      </c>
      <c r="AV122">
        <v>0.53369305523376354</v>
      </c>
      <c r="AW122">
        <v>0.54054884998685238</v>
      </c>
      <c r="AX122">
        <v>0.55860117848334245</v>
      </c>
      <c r="AY122">
        <v>0.58180980298310725</v>
      </c>
      <c r="AZ122">
        <v>0.61310033209274528</v>
      </c>
      <c r="BA122">
        <v>0.67251097150396211</v>
      </c>
      <c r="BB122">
        <v>0.70589930704244708</v>
      </c>
      <c r="BC122">
        <v>0.71156523487711454</v>
      </c>
      <c r="BD122">
        <v>0.71093311098981127</v>
      </c>
      <c r="BE122">
        <v>0.71511683002394455</v>
      </c>
      <c r="BF122">
        <v>0.71775408376360494</v>
      </c>
      <c r="BG122">
        <v>0.7208096687286345</v>
      </c>
      <c r="BH122">
        <v>0.72610406816560613</v>
      </c>
      <c r="BI122">
        <v>0.72967238482408125</v>
      </c>
      <c r="BJ122">
        <v>0.7400021164630165</v>
      </c>
      <c r="BK122">
        <v>0.75350743702298972</v>
      </c>
      <c r="BL122">
        <v>0.79133488596820101</v>
      </c>
      <c r="BM122">
        <v>0.84987669820322387</v>
      </c>
      <c r="BN122">
        <v>0.89084191964486648</v>
      </c>
      <c r="BO122">
        <v>0.91904617675656008</v>
      </c>
      <c r="BP122">
        <v>0.93075334335612792</v>
      </c>
      <c r="BQ122">
        <v>0.93418979953087877</v>
      </c>
      <c r="BR122">
        <v>0.92587344386670023</v>
      </c>
      <c r="BS122">
        <v>0.92339751209571397</v>
      </c>
      <c r="BT122">
        <v>0.94509099608151714</v>
      </c>
      <c r="BU122">
        <v>1.0026196799032796</v>
      </c>
      <c r="BV122">
        <v>1.0880267444728566</v>
      </c>
      <c r="BW122">
        <v>1.226193845932309</v>
      </c>
      <c r="BX122">
        <v>1.4378965598496281</v>
      </c>
    </row>
    <row r="123" spans="1:76">
      <c r="A123" t="s">
        <v>232</v>
      </c>
      <c r="B123">
        <v>2008</v>
      </c>
      <c r="C123">
        <v>10</v>
      </c>
      <c r="D123">
        <v>29</v>
      </c>
      <c r="E123">
        <v>11.033333333333333</v>
      </c>
      <c r="F123">
        <v>3</v>
      </c>
      <c r="G123">
        <v>0.18686</v>
      </c>
      <c r="H123">
        <v>1.7725619803048003</v>
      </c>
      <c r="I123">
        <v>2.8</v>
      </c>
      <c r="J123">
        <v>0.612421748425101</v>
      </c>
      <c r="K123">
        <v>1.5995322879422211</v>
      </c>
      <c r="L123">
        <v>0.97958836044397712</v>
      </c>
      <c r="M123">
        <v>1.2426913540637594</v>
      </c>
      <c r="N123">
        <v>1.1823477931042863</v>
      </c>
      <c r="O123">
        <v>1.1262822997143693</v>
      </c>
      <c r="P123">
        <v>1.0772408997761984</v>
      </c>
      <c r="Q123">
        <v>1.0303111762750672</v>
      </c>
      <c r="R123">
        <v>0.98636404415099777</v>
      </c>
      <c r="S123">
        <v>0.94832752189576786</v>
      </c>
      <c r="T123">
        <v>0.91232191718145228</v>
      </c>
      <c r="U123">
        <v>0.87776907288576944</v>
      </c>
      <c r="V123">
        <v>0.84070133676532333</v>
      </c>
      <c r="W123">
        <v>0.80465145079164457</v>
      </c>
      <c r="X123">
        <v>0.77200723584965014</v>
      </c>
      <c r="Y123">
        <v>0.74258564683864225</v>
      </c>
      <c r="Z123">
        <v>0.71515705438101107</v>
      </c>
      <c r="AA123">
        <v>0.68794360468235349</v>
      </c>
      <c r="AB123">
        <v>0.66143892411999283</v>
      </c>
      <c r="AC123">
        <v>0.63696699335255036</v>
      </c>
      <c r="AD123">
        <v>0.61457093271068031</v>
      </c>
      <c r="AE123">
        <v>0.59380405473733655</v>
      </c>
      <c r="AF123">
        <v>0.57514783116165014</v>
      </c>
      <c r="AG123">
        <v>0.55900848167289463</v>
      </c>
      <c r="AH123">
        <v>0.54546221386997495</v>
      </c>
      <c r="AI123">
        <v>0.53479352559486493</v>
      </c>
      <c r="AJ123">
        <v>0.52482960703586978</v>
      </c>
      <c r="AK123">
        <v>0.50889301803676568</v>
      </c>
      <c r="AL123">
        <v>0.49348230716433372</v>
      </c>
      <c r="AM123">
        <v>0.48050548195957399</v>
      </c>
      <c r="AN123">
        <v>0.46838601865394891</v>
      </c>
      <c r="AO123">
        <v>0.45774665204184528</v>
      </c>
      <c r="AP123">
        <v>0.44945695856330886</v>
      </c>
      <c r="AQ123">
        <v>0.44301919451976213</v>
      </c>
      <c r="AR123">
        <v>0.43575164938378264</v>
      </c>
      <c r="AS123">
        <v>0.42530661771583989</v>
      </c>
      <c r="AT123">
        <v>0.4179982783113565</v>
      </c>
      <c r="AU123">
        <v>0.41498459821012468</v>
      </c>
      <c r="AV123">
        <v>0.41660680983780984</v>
      </c>
      <c r="AW123">
        <v>0.42621028861681531</v>
      </c>
      <c r="AX123">
        <v>0.44698737094622631</v>
      </c>
      <c r="AY123">
        <v>0.47323694125080329</v>
      </c>
      <c r="AZ123">
        <v>0.50776832120147908</v>
      </c>
      <c r="BA123">
        <v>0.57065791641571129</v>
      </c>
      <c r="BB123">
        <v>0.60602364826503285</v>
      </c>
      <c r="BC123">
        <v>0.61206098211144955</v>
      </c>
      <c r="BD123">
        <v>0.61167766336167861</v>
      </c>
      <c r="BE123">
        <v>0.61641906370079558</v>
      </c>
      <c r="BF123">
        <v>0.62051335379292916</v>
      </c>
      <c r="BG123">
        <v>0.62503214494881831</v>
      </c>
      <c r="BH123">
        <v>0.63157156611161369</v>
      </c>
      <c r="BI123">
        <v>0.63724085307104983</v>
      </c>
      <c r="BJ123">
        <v>0.64921795096146273</v>
      </c>
      <c r="BK123">
        <v>0.6633168114327066</v>
      </c>
      <c r="BL123">
        <v>0.69937249365975396</v>
      </c>
      <c r="BM123">
        <v>0.75081116288256955</v>
      </c>
      <c r="BN123">
        <v>0.78142495678536472</v>
      </c>
      <c r="BO123">
        <v>0.80014708254747569</v>
      </c>
      <c r="BP123">
        <v>0.80973626467415838</v>
      </c>
      <c r="BQ123">
        <v>0.81980322735307565</v>
      </c>
      <c r="BR123">
        <v>0.82624013042277955</v>
      </c>
      <c r="BS123">
        <v>0.84101252471146337</v>
      </c>
      <c r="BT123">
        <v>0.87591489635987041</v>
      </c>
      <c r="BU123">
        <v>0.94225345647769154</v>
      </c>
      <c r="BV123">
        <v>1.0317936157150212</v>
      </c>
      <c r="BW123">
        <v>1.1738634755877317</v>
      </c>
      <c r="BX123">
        <v>1.3874191796010913</v>
      </c>
    </row>
    <row r="124" spans="1:76">
      <c r="A124" t="s">
        <v>233</v>
      </c>
      <c r="B124">
        <v>2008</v>
      </c>
      <c r="C124">
        <v>10</v>
      </c>
      <c r="D124">
        <v>29</v>
      </c>
      <c r="E124">
        <v>11.166666666666666</v>
      </c>
      <c r="F124">
        <v>3</v>
      </c>
      <c r="G124">
        <v>0.24631800000000001</v>
      </c>
      <c r="H124">
        <v>3.8576679617296921</v>
      </c>
      <c r="I124">
        <v>2.9</v>
      </c>
      <c r="J124">
        <v>0.66854337049151091</v>
      </c>
      <c r="K124">
        <v>1.5566631790044825</v>
      </c>
      <c r="L124">
        <v>1.040696848411687</v>
      </c>
      <c r="M124">
        <v>1.4787938666134532</v>
      </c>
      <c r="N124">
        <v>1.4060226246025462</v>
      </c>
      <c r="O124">
        <v>1.33791186541715</v>
      </c>
      <c r="P124">
        <v>1.2797163353226788</v>
      </c>
      <c r="Q124">
        <v>1.2231164698865882</v>
      </c>
      <c r="R124">
        <v>1.1699079319216159</v>
      </c>
      <c r="S124">
        <v>1.1255219853512564</v>
      </c>
      <c r="T124">
        <v>1.0831869763637858</v>
      </c>
      <c r="U124">
        <v>1.0415657561428786</v>
      </c>
      <c r="V124">
        <v>0.99435530719393017</v>
      </c>
      <c r="W124">
        <v>0.94748775977796629</v>
      </c>
      <c r="X124">
        <v>0.90677833291105048</v>
      </c>
      <c r="Y124">
        <v>0.87101286245497134</v>
      </c>
      <c r="Z124">
        <v>0.83781689426629513</v>
      </c>
      <c r="AA124">
        <v>0.80422666385031749</v>
      </c>
      <c r="AB124">
        <v>0.77094033284767427</v>
      </c>
      <c r="AC124">
        <v>0.74011923494616172</v>
      </c>
      <c r="AD124">
        <v>0.71267091926354531</v>
      </c>
      <c r="AE124">
        <v>0.68704313575258547</v>
      </c>
      <c r="AF124">
        <v>0.66360133113044917</v>
      </c>
      <c r="AG124">
        <v>0.64316950271187667</v>
      </c>
      <c r="AH124">
        <v>0.62470740297019967</v>
      </c>
      <c r="AI124">
        <v>0.60897649356958428</v>
      </c>
      <c r="AJ124">
        <v>0.59373890567165066</v>
      </c>
      <c r="AK124">
        <v>0.57375721733443452</v>
      </c>
      <c r="AL124">
        <v>0.55482246927396306</v>
      </c>
      <c r="AM124">
        <v>0.53874998092235415</v>
      </c>
      <c r="AN124">
        <v>0.52364385345708686</v>
      </c>
      <c r="AO124">
        <v>0.51031528602684051</v>
      </c>
      <c r="AP124">
        <v>0.49918165158600492</v>
      </c>
      <c r="AQ124">
        <v>0.48915616800530171</v>
      </c>
      <c r="AR124">
        <v>0.47974468175735036</v>
      </c>
      <c r="AS124">
        <v>0.46560151548560036</v>
      </c>
      <c r="AT124">
        <v>0.45648424034666718</v>
      </c>
      <c r="AU124">
        <v>0.45129843824331006</v>
      </c>
      <c r="AV124">
        <v>0.45129292760334566</v>
      </c>
      <c r="AW124">
        <v>0.45990701094037861</v>
      </c>
      <c r="AX124">
        <v>0.4795908865572534</v>
      </c>
      <c r="AY124">
        <v>0.50443968254819094</v>
      </c>
      <c r="AZ124">
        <v>0.5373503270340807</v>
      </c>
      <c r="BA124">
        <v>0.59828854253325692</v>
      </c>
      <c r="BB124">
        <v>0.63302368248259588</v>
      </c>
      <c r="BC124">
        <v>0.63979176705658825</v>
      </c>
      <c r="BD124">
        <v>0.64024572637389554</v>
      </c>
      <c r="BE124">
        <v>0.64554820514355549</v>
      </c>
      <c r="BF124">
        <v>0.64949756313361584</v>
      </c>
      <c r="BG124">
        <v>0.65385172334286246</v>
      </c>
      <c r="BH124">
        <v>0.6603745634113134</v>
      </c>
      <c r="BI124">
        <v>0.66535844771974439</v>
      </c>
      <c r="BJ124">
        <v>0.67696586657174107</v>
      </c>
      <c r="BK124">
        <v>0.69149293364502284</v>
      </c>
      <c r="BL124">
        <v>0.72971971335240082</v>
      </c>
      <c r="BM124">
        <v>0.78740244027077644</v>
      </c>
      <c r="BN124">
        <v>0.82683992181290344</v>
      </c>
      <c r="BO124">
        <v>0.85374539205076205</v>
      </c>
      <c r="BP124">
        <v>0.86584458957758093</v>
      </c>
      <c r="BQ124">
        <v>0.87164907643437972</v>
      </c>
      <c r="BR124">
        <v>0.86754796613762353</v>
      </c>
      <c r="BS124">
        <v>0.86982342033835414</v>
      </c>
      <c r="BT124">
        <v>0.89528867972927517</v>
      </c>
      <c r="BU124">
        <v>0.95549771860275223</v>
      </c>
      <c r="BV124">
        <v>1.0424570780072451</v>
      </c>
      <c r="BW124">
        <v>1.1819756710770402</v>
      </c>
      <c r="BX124">
        <v>1.3943640507740804</v>
      </c>
    </row>
    <row r="125" spans="1:76">
      <c r="A125" t="s">
        <v>234</v>
      </c>
      <c r="B125">
        <v>2008</v>
      </c>
      <c r="C125">
        <v>10</v>
      </c>
      <c r="D125">
        <v>29</v>
      </c>
      <c r="E125">
        <v>11.283333333333333</v>
      </c>
      <c r="F125">
        <v>3</v>
      </c>
      <c r="G125">
        <v>0.167046</v>
      </c>
      <c r="H125">
        <v>2.1257018527048004</v>
      </c>
      <c r="I125">
        <v>3.5</v>
      </c>
      <c r="J125">
        <v>0.69419950101974182</v>
      </c>
      <c r="K125">
        <v>1.2630778936867815</v>
      </c>
      <c r="L125">
        <v>0.87682804354643018</v>
      </c>
      <c r="M125">
        <v>1.3615261884420884</v>
      </c>
      <c r="N125">
        <v>1.3024761723377263</v>
      </c>
      <c r="O125">
        <v>1.2472281757030066</v>
      </c>
      <c r="P125">
        <v>1.1990497038755881</v>
      </c>
      <c r="Q125">
        <v>1.1524494331342674</v>
      </c>
      <c r="R125">
        <v>1.1085159624122691</v>
      </c>
      <c r="S125">
        <v>1.0706827420124072</v>
      </c>
      <c r="T125">
        <v>1.0345719869528829</v>
      </c>
      <c r="U125">
        <v>0.99949713378325233</v>
      </c>
      <c r="V125">
        <v>0.96108902841061705</v>
      </c>
      <c r="W125">
        <v>0.92334909562898027</v>
      </c>
      <c r="X125">
        <v>0.88933020716381583</v>
      </c>
      <c r="Y125">
        <v>0.85867716036302744</v>
      </c>
      <c r="Z125">
        <v>0.829965379309479</v>
      </c>
      <c r="AA125">
        <v>0.80121173181316152</v>
      </c>
      <c r="AB125">
        <v>0.77296084398204568</v>
      </c>
      <c r="AC125">
        <v>0.74670447023195319</v>
      </c>
      <c r="AD125">
        <v>0.72266330247022159</v>
      </c>
      <c r="AE125">
        <v>0.70019024713096345</v>
      </c>
      <c r="AF125">
        <v>0.67975393348026358</v>
      </c>
      <c r="AG125">
        <v>0.66185008763044828</v>
      </c>
      <c r="AH125">
        <v>0.64634842980883866</v>
      </c>
      <c r="AI125">
        <v>0.6336376848075842</v>
      </c>
      <c r="AJ125">
        <v>0.6215426511629597</v>
      </c>
      <c r="AK125">
        <v>0.60365846555405489</v>
      </c>
      <c r="AL125">
        <v>0.58635465525996988</v>
      </c>
      <c r="AM125">
        <v>0.57153387024819158</v>
      </c>
      <c r="AN125">
        <v>0.55756085594020188</v>
      </c>
      <c r="AO125">
        <v>0.54510388425412115</v>
      </c>
      <c r="AP125">
        <v>0.5349577328897267</v>
      </c>
      <c r="AQ125">
        <v>0.52651670566740971</v>
      </c>
      <c r="AR125">
        <v>0.51750904801195274</v>
      </c>
      <c r="AS125">
        <v>0.50498129799848868</v>
      </c>
      <c r="AT125">
        <v>0.49597734909855506</v>
      </c>
      <c r="AU125">
        <v>0.49124239903318934</v>
      </c>
      <c r="AV125">
        <v>0.49130696623696091</v>
      </c>
      <c r="AW125">
        <v>0.49957450533748643</v>
      </c>
      <c r="AX125">
        <v>0.51910926664698198</v>
      </c>
      <c r="AY125">
        <v>0.54407789846103427</v>
      </c>
      <c r="AZ125">
        <v>0.57729605642827631</v>
      </c>
      <c r="BA125">
        <v>0.63884029384654206</v>
      </c>
      <c r="BB125">
        <v>0.67293776919427661</v>
      </c>
      <c r="BC125">
        <v>0.67790435718405462</v>
      </c>
      <c r="BD125">
        <v>0.67646680972616569</v>
      </c>
      <c r="BE125">
        <v>0.68011337522214177</v>
      </c>
      <c r="BF125">
        <v>0.68298400749681321</v>
      </c>
      <c r="BG125">
        <v>0.68628064854757831</v>
      </c>
      <c r="BH125">
        <v>0.6916316775872634</v>
      </c>
      <c r="BI125">
        <v>0.69599057487849003</v>
      </c>
      <c r="BJ125">
        <v>0.70672218514508878</v>
      </c>
      <c r="BK125">
        <v>0.71972686952923626</v>
      </c>
      <c r="BL125">
        <v>0.75500504545223968</v>
      </c>
      <c r="BM125">
        <v>0.8064021527119154</v>
      </c>
      <c r="BN125">
        <v>0.83746973277667136</v>
      </c>
      <c r="BO125">
        <v>0.85654088458311617</v>
      </c>
      <c r="BP125">
        <v>0.86543176604849836</v>
      </c>
      <c r="BQ125">
        <v>0.87353504926921877</v>
      </c>
      <c r="BR125">
        <v>0.87684265375428483</v>
      </c>
      <c r="BS125">
        <v>0.88811057584093533</v>
      </c>
      <c r="BT125">
        <v>0.92005305490359546</v>
      </c>
      <c r="BU125">
        <v>0.98399985669013668</v>
      </c>
      <c r="BV125">
        <v>1.0717711920292572</v>
      </c>
      <c r="BW125">
        <v>1.2119847236666612</v>
      </c>
      <c r="BX125">
        <v>1.4238165169280992</v>
      </c>
    </row>
    <row r="126" spans="1:76">
      <c r="A126" t="s">
        <v>235</v>
      </c>
      <c r="B126">
        <v>2008</v>
      </c>
      <c r="C126">
        <v>10</v>
      </c>
      <c r="D126">
        <v>29</v>
      </c>
      <c r="E126">
        <v>11.383333333333333</v>
      </c>
      <c r="F126">
        <v>3</v>
      </c>
      <c r="G126">
        <v>0.21837000000000001</v>
      </c>
      <c r="H126">
        <v>2.175543619748034</v>
      </c>
      <c r="I126">
        <v>1.5</v>
      </c>
      <c r="J126">
        <v>0.47357764298021848</v>
      </c>
      <c r="K126">
        <v>3.0623279964145893</v>
      </c>
      <c r="L126">
        <v>1.4502500745743561</v>
      </c>
      <c r="M126">
        <v>1.0351489265824223</v>
      </c>
      <c r="N126">
        <v>0.97534171957520099</v>
      </c>
      <c r="O126">
        <v>0.92002710674705868</v>
      </c>
      <c r="P126">
        <v>0.87245448013920646</v>
      </c>
      <c r="Q126">
        <v>0.82697396245957533</v>
      </c>
      <c r="R126">
        <v>0.78463227086331044</v>
      </c>
      <c r="S126">
        <v>0.74886959358915606</v>
      </c>
      <c r="T126">
        <v>0.71518337859554137</v>
      </c>
      <c r="U126">
        <v>0.68282224162389604</v>
      </c>
      <c r="V126">
        <v>0.64731509202610371</v>
      </c>
      <c r="W126">
        <v>0.61269209694414628</v>
      </c>
      <c r="X126">
        <v>0.58206694427784411</v>
      </c>
      <c r="Y126">
        <v>0.555033180958316</v>
      </c>
      <c r="Z126">
        <v>0.53011498221788522</v>
      </c>
      <c r="AA126">
        <v>0.50528220565337234</v>
      </c>
      <c r="AB126">
        <v>0.48107057615367166</v>
      </c>
      <c r="AC126">
        <v>0.45898021299653768</v>
      </c>
      <c r="AD126">
        <v>0.43923949795448258</v>
      </c>
      <c r="AE126">
        <v>0.42116141001533086</v>
      </c>
      <c r="AF126">
        <v>0.40519173212059756</v>
      </c>
      <c r="AG126">
        <v>0.39181468403484809</v>
      </c>
      <c r="AH126">
        <v>0.38085075652353118</v>
      </c>
      <c r="AI126">
        <v>0.37266801127532945</v>
      </c>
      <c r="AJ126">
        <v>0.3651034499977871</v>
      </c>
      <c r="AK126">
        <v>0.35192726802847657</v>
      </c>
      <c r="AL126">
        <v>0.33937638403022186</v>
      </c>
      <c r="AM126">
        <v>0.32928402979298266</v>
      </c>
      <c r="AN126">
        <v>0.32003290748703567</v>
      </c>
      <c r="AO126">
        <v>0.31225953602669138</v>
      </c>
      <c r="AP126">
        <v>0.30669504822540072</v>
      </c>
      <c r="AQ126">
        <v>0.30272061037503295</v>
      </c>
      <c r="AR126">
        <v>0.29821100516970228</v>
      </c>
      <c r="AS126">
        <v>0.29029112197104162</v>
      </c>
      <c r="AT126">
        <v>0.28574141481738058</v>
      </c>
      <c r="AU126">
        <v>0.28517687273932391</v>
      </c>
      <c r="AV126">
        <v>0.28910286011456621</v>
      </c>
      <c r="AW126">
        <v>0.30075298325720656</v>
      </c>
      <c r="AX126">
        <v>0.32311868670529997</v>
      </c>
      <c r="AY126">
        <v>0.35080023321833048</v>
      </c>
      <c r="AZ126">
        <v>0.38664166012844026</v>
      </c>
      <c r="BA126">
        <v>0.45049459341132642</v>
      </c>
      <c r="BB126">
        <v>0.48780432919130029</v>
      </c>
      <c r="BC126">
        <v>0.49644204538959469</v>
      </c>
      <c r="BD126">
        <v>0.49872522888800375</v>
      </c>
      <c r="BE126">
        <v>0.50599693090788667</v>
      </c>
      <c r="BF126">
        <v>0.51245705028174959</v>
      </c>
      <c r="BG126">
        <v>0.51931304514033938</v>
      </c>
      <c r="BH126">
        <v>0.5281850292878828</v>
      </c>
      <c r="BI126">
        <v>0.53603582250373127</v>
      </c>
      <c r="BJ126">
        <v>0.55020045778696025</v>
      </c>
      <c r="BK126">
        <v>0.56663399820275262</v>
      </c>
      <c r="BL126">
        <v>0.60526914612919747</v>
      </c>
      <c r="BM126">
        <v>0.66011558618230182</v>
      </c>
      <c r="BN126">
        <v>0.69479087936199835</v>
      </c>
      <c r="BO126">
        <v>0.71747569427809721</v>
      </c>
      <c r="BP126">
        <v>0.72983982517434176</v>
      </c>
      <c r="BQ126">
        <v>0.74122839551271391</v>
      </c>
      <c r="BR126">
        <v>0.74765222202831083</v>
      </c>
      <c r="BS126">
        <v>0.76196043397364199</v>
      </c>
      <c r="BT126">
        <v>0.79698622075469061</v>
      </c>
      <c r="BU126">
        <v>0.86406926514237903</v>
      </c>
      <c r="BV126">
        <v>0.95505536471566566</v>
      </c>
      <c r="BW126">
        <v>1.0984588564465316</v>
      </c>
      <c r="BX126">
        <v>1.3134817324384407</v>
      </c>
    </row>
    <row r="127" spans="1:76">
      <c r="A127" t="s">
        <v>236</v>
      </c>
      <c r="B127">
        <v>2008</v>
      </c>
      <c r="C127">
        <v>10</v>
      </c>
      <c r="D127">
        <v>29</v>
      </c>
      <c r="E127">
        <v>11.466666666666667</v>
      </c>
      <c r="F127">
        <v>3</v>
      </c>
      <c r="G127">
        <v>0.203461</v>
      </c>
      <c r="H127">
        <v>2.6323312179173182</v>
      </c>
      <c r="I127">
        <v>2.8</v>
      </c>
      <c r="J127">
        <v>0.62944909902952106</v>
      </c>
      <c r="K127">
        <v>1.6065709976081075</v>
      </c>
      <c r="L127">
        <v>1.0112546669713822</v>
      </c>
      <c r="M127">
        <v>1.3093245686196917</v>
      </c>
      <c r="N127">
        <v>1.2461924120593593</v>
      </c>
      <c r="O127">
        <v>1.1872783666052378</v>
      </c>
      <c r="P127">
        <v>1.1364465198412272</v>
      </c>
      <c r="Q127">
        <v>1.0873135479199387</v>
      </c>
      <c r="R127">
        <v>1.0411719124447443</v>
      </c>
      <c r="S127">
        <v>1.0020605253507111</v>
      </c>
      <c r="T127">
        <v>0.96484839888127272</v>
      </c>
      <c r="U127">
        <v>0.9286358098893035</v>
      </c>
      <c r="V127">
        <v>0.8884439737127694</v>
      </c>
      <c r="W127">
        <v>0.84886215389149355</v>
      </c>
      <c r="X127">
        <v>0.81379718276822877</v>
      </c>
      <c r="Y127">
        <v>0.78262106614109817</v>
      </c>
      <c r="Z127">
        <v>0.75360845020907696</v>
      </c>
      <c r="AA127">
        <v>0.72446505803454819</v>
      </c>
      <c r="AB127">
        <v>0.69577842045424654</v>
      </c>
      <c r="AC127">
        <v>0.66924723258602259</v>
      </c>
      <c r="AD127">
        <v>0.64530817666179485</v>
      </c>
      <c r="AE127">
        <v>0.6230270442100887</v>
      </c>
      <c r="AF127">
        <v>0.60283727661630149</v>
      </c>
      <c r="AG127">
        <v>0.58533697791621131</v>
      </c>
      <c r="AH127">
        <v>0.57010428894935239</v>
      </c>
      <c r="AI127">
        <v>0.55764257259121308</v>
      </c>
      <c r="AJ127">
        <v>0.54575758064689039</v>
      </c>
      <c r="AK127">
        <v>0.52843192800015903</v>
      </c>
      <c r="AL127">
        <v>0.51183875709904147</v>
      </c>
      <c r="AM127">
        <v>0.49784487850124115</v>
      </c>
      <c r="AN127">
        <v>0.48473435672439313</v>
      </c>
      <c r="AO127">
        <v>0.47321594864125416</v>
      </c>
      <c r="AP127">
        <v>0.46395626896754572</v>
      </c>
      <c r="AQ127">
        <v>0.45619542197677138</v>
      </c>
      <c r="AR127">
        <v>0.44823875480323805</v>
      </c>
      <c r="AS127">
        <v>0.43639906646158022</v>
      </c>
      <c r="AT127">
        <v>0.42852503177971507</v>
      </c>
      <c r="AU127">
        <v>0.42476376984707753</v>
      </c>
      <c r="AV127">
        <v>0.42586087860811384</v>
      </c>
      <c r="AW127">
        <v>0.43519494797231684</v>
      </c>
      <c r="AX127">
        <v>0.45561831675223746</v>
      </c>
      <c r="AY127">
        <v>0.48135161593604658</v>
      </c>
      <c r="AZ127">
        <v>0.51523934315491549</v>
      </c>
      <c r="BA127">
        <v>0.57726660338244606</v>
      </c>
      <c r="BB127">
        <v>0.61240833982468101</v>
      </c>
      <c r="BC127">
        <v>0.6188810819293632</v>
      </c>
      <c r="BD127">
        <v>0.61898885230996215</v>
      </c>
      <c r="BE127">
        <v>0.62408272010551191</v>
      </c>
      <c r="BF127">
        <v>0.62821505676633493</v>
      </c>
      <c r="BG127">
        <v>0.63275793085454479</v>
      </c>
      <c r="BH127">
        <v>0.6393781082982688</v>
      </c>
      <c r="BI127">
        <v>0.64483199077411313</v>
      </c>
      <c r="BJ127">
        <v>0.65671547380869966</v>
      </c>
      <c r="BK127">
        <v>0.67106438602493546</v>
      </c>
      <c r="BL127">
        <v>0.70808515419736628</v>
      </c>
      <c r="BM127">
        <v>0.76224544931146432</v>
      </c>
      <c r="BN127">
        <v>0.79676060946809457</v>
      </c>
      <c r="BO127">
        <v>0.81912631938715119</v>
      </c>
      <c r="BP127">
        <v>0.82988029319486223</v>
      </c>
      <c r="BQ127">
        <v>0.83812902922002153</v>
      </c>
      <c r="BR127">
        <v>0.83999333027198464</v>
      </c>
      <c r="BS127">
        <v>0.8493122466169446</v>
      </c>
      <c r="BT127">
        <v>0.88006294775810845</v>
      </c>
      <c r="BU127">
        <v>0.94363611337339326</v>
      </c>
      <c r="BV127">
        <v>1.0319210354035175</v>
      </c>
      <c r="BW127">
        <v>1.172634536389805</v>
      </c>
      <c r="BX127">
        <v>1.3852877659546812</v>
      </c>
    </row>
    <row r="128" spans="1:76">
      <c r="A128" t="s">
        <v>237</v>
      </c>
      <c r="B128">
        <v>2008</v>
      </c>
      <c r="C128">
        <v>10</v>
      </c>
      <c r="D128">
        <v>29</v>
      </c>
      <c r="E128">
        <v>11.95</v>
      </c>
      <c r="F128">
        <v>3</v>
      </c>
      <c r="G128">
        <v>0.27792699999999998</v>
      </c>
      <c r="H128">
        <v>4.5859503123069087</v>
      </c>
      <c r="I128">
        <v>3.6</v>
      </c>
      <c r="J128">
        <v>0.76328348988611128</v>
      </c>
      <c r="K128">
        <v>1.2438266429401963</v>
      </c>
      <c r="L128">
        <v>0.94939234083671908</v>
      </c>
      <c r="M128">
        <v>1.7412486144176291</v>
      </c>
      <c r="N128">
        <v>1.6575901279519714</v>
      </c>
      <c r="O128">
        <v>1.5791399185764805</v>
      </c>
      <c r="P128">
        <v>1.5118903304901719</v>
      </c>
      <c r="Q128">
        <v>1.4464442226590815</v>
      </c>
      <c r="R128">
        <v>1.38485363207861</v>
      </c>
      <c r="S128">
        <v>1.3332927442881444</v>
      </c>
      <c r="T128">
        <v>1.2840782502431067</v>
      </c>
      <c r="U128">
        <v>1.2356199123584597</v>
      </c>
      <c r="V128">
        <v>1.180881722953135</v>
      </c>
      <c r="W128">
        <v>1.1265189332810071</v>
      </c>
      <c r="X128">
        <v>1.0793737844318387</v>
      </c>
      <c r="Y128">
        <v>1.0378996350325691</v>
      </c>
      <c r="Z128">
        <v>0.99935902855620307</v>
      </c>
      <c r="AA128">
        <v>0.96041942010512438</v>
      </c>
      <c r="AB128">
        <v>0.92183271766421604</v>
      </c>
      <c r="AC128">
        <v>0.88599913305168077</v>
      </c>
      <c r="AD128">
        <v>0.85406523858909045</v>
      </c>
      <c r="AE128">
        <v>0.8241396554293251</v>
      </c>
      <c r="AF128">
        <v>0.79654215559997921</v>
      </c>
      <c r="AG128">
        <v>0.77220464300818348</v>
      </c>
      <c r="AH128">
        <v>0.74975262336265858</v>
      </c>
      <c r="AI128">
        <v>0.73007533201998953</v>
      </c>
      <c r="AJ128">
        <v>0.71091188708275954</v>
      </c>
      <c r="AK128">
        <v>0.68744479281170501</v>
      </c>
      <c r="AL128">
        <v>0.6652406022298949</v>
      </c>
      <c r="AM128">
        <v>0.64607825125880392</v>
      </c>
      <c r="AN128">
        <v>0.62796849327163007</v>
      </c>
      <c r="AO128">
        <v>0.61177231833538936</v>
      </c>
      <c r="AP128">
        <v>0.59777365273082328</v>
      </c>
      <c r="AQ128">
        <v>0.58471257365216844</v>
      </c>
      <c r="AR128">
        <v>0.57273504132818664</v>
      </c>
      <c r="AS128">
        <v>0.55559245653904465</v>
      </c>
      <c r="AT128">
        <v>0.54408550928145338</v>
      </c>
      <c r="AU128">
        <v>0.53646197821402408</v>
      </c>
      <c r="AV128">
        <v>0.53425716790188948</v>
      </c>
      <c r="AW128">
        <v>0.54097162573534674</v>
      </c>
      <c r="AX128">
        <v>0.55885094484006026</v>
      </c>
      <c r="AY128">
        <v>0.58187400251160648</v>
      </c>
      <c r="AZ128">
        <v>0.61295742140114196</v>
      </c>
      <c r="BA128">
        <v>0.67207074884389773</v>
      </c>
      <c r="BB128">
        <v>0.70527892899324085</v>
      </c>
      <c r="BC128">
        <v>0.71088468456313869</v>
      </c>
      <c r="BD128">
        <v>0.71021883209216563</v>
      </c>
      <c r="BE128">
        <v>0.71435184679549368</v>
      </c>
      <c r="BF128">
        <v>0.71693412409382851</v>
      </c>
      <c r="BG128">
        <v>0.71993595668146004</v>
      </c>
      <c r="BH128">
        <v>0.72517464087871608</v>
      </c>
      <c r="BI128">
        <v>0.72868330136672377</v>
      </c>
      <c r="BJ128">
        <v>0.73893963955071795</v>
      </c>
      <c r="BK128">
        <v>0.75237745545829549</v>
      </c>
      <c r="BL128">
        <v>0.79009087050662119</v>
      </c>
      <c r="BM128">
        <v>0.84852570530596416</v>
      </c>
      <c r="BN128">
        <v>0.88948883240777554</v>
      </c>
      <c r="BO128">
        <v>0.91772213428652349</v>
      </c>
      <c r="BP128">
        <v>0.92941141522253035</v>
      </c>
      <c r="BQ128">
        <v>0.93273704554402048</v>
      </c>
      <c r="BR128">
        <v>0.92423726177710797</v>
      </c>
      <c r="BS128">
        <v>0.92152480282793026</v>
      </c>
      <c r="BT128">
        <v>0.94295870689112338</v>
      </c>
      <c r="BU128">
        <v>1.0001712972874839</v>
      </c>
      <c r="BV128">
        <v>1.0852357526957837</v>
      </c>
      <c r="BW128">
        <v>1.2228901700464923</v>
      </c>
      <c r="BX128">
        <v>1.4338668595071713</v>
      </c>
    </row>
    <row r="129" spans="1:76">
      <c r="A129" t="s">
        <v>238</v>
      </c>
      <c r="B129">
        <v>2008</v>
      </c>
      <c r="C129">
        <v>8</v>
      </c>
      <c r="D129">
        <v>7</v>
      </c>
      <c r="E129">
        <v>8.9333333333333336</v>
      </c>
      <c r="F129">
        <v>3</v>
      </c>
      <c r="G129">
        <v>0.17282900000000001</v>
      </c>
      <c r="H129">
        <v>2.9329420651141058</v>
      </c>
      <c r="I129">
        <v>0.8</v>
      </c>
      <c r="J129">
        <v>0.38809169990038006</v>
      </c>
      <c r="K129">
        <v>5.6323088634195901</v>
      </c>
      <c r="L129">
        <v>2.1858523211684862</v>
      </c>
      <c r="M129">
        <v>0.77652756356199915</v>
      </c>
      <c r="N129">
        <v>0.73242431330337854</v>
      </c>
      <c r="O129">
        <v>0.69131837218064596</v>
      </c>
      <c r="P129">
        <v>0.6575496033177245</v>
      </c>
      <c r="Q129">
        <v>0.62431389793118786</v>
      </c>
      <c r="R129">
        <v>0.59312557302008928</v>
      </c>
      <c r="S129">
        <v>0.56848981992416669</v>
      </c>
      <c r="T129">
        <v>0.54490687124272397</v>
      </c>
      <c r="U129">
        <v>0.52142974393103358</v>
      </c>
      <c r="V129">
        <v>0.49276515390756548</v>
      </c>
      <c r="W129">
        <v>0.46394064905119575</v>
      </c>
      <c r="X129">
        <v>0.43944863158766262</v>
      </c>
      <c r="Y129">
        <v>0.41856507303071067</v>
      </c>
      <c r="Z129">
        <v>0.39943595997417514</v>
      </c>
      <c r="AA129">
        <v>0.37962774484033857</v>
      </c>
      <c r="AB129">
        <v>0.35980679017772016</v>
      </c>
      <c r="AC129">
        <v>0.34184702829999475</v>
      </c>
      <c r="AD129">
        <v>0.32634009110431278</v>
      </c>
      <c r="AE129">
        <v>0.31221628700910625</v>
      </c>
      <c r="AF129">
        <v>0.29990573417960331</v>
      </c>
      <c r="AG129">
        <v>0.2900722192002666</v>
      </c>
      <c r="AH129">
        <v>0.28214229980597549</v>
      </c>
      <c r="AI129">
        <v>0.27666822078470477</v>
      </c>
      <c r="AJ129">
        <v>0.27148450154471582</v>
      </c>
      <c r="AK129">
        <v>0.26096667042237648</v>
      </c>
      <c r="AL129">
        <v>0.2510754177433922</v>
      </c>
      <c r="AM129">
        <v>0.24359426141426305</v>
      </c>
      <c r="AN129">
        <v>0.2368154427352788</v>
      </c>
      <c r="AO129">
        <v>0.23143987873875088</v>
      </c>
      <c r="AP129">
        <v>0.22802578003814861</v>
      </c>
      <c r="AQ129">
        <v>0.22576122950508329</v>
      </c>
      <c r="AR129">
        <v>0.22334713801294576</v>
      </c>
      <c r="AS129">
        <v>0.21695454887697641</v>
      </c>
      <c r="AT129">
        <v>0.21438815346734097</v>
      </c>
      <c r="AU129">
        <v>0.21545175970665373</v>
      </c>
      <c r="AV129">
        <v>0.22095128448842757</v>
      </c>
      <c r="AW129">
        <v>0.23408095418277308</v>
      </c>
      <c r="AX129">
        <v>0.25757333517657893</v>
      </c>
      <c r="AY129">
        <v>0.28619230941249557</v>
      </c>
      <c r="AZ129">
        <v>0.32283473793409645</v>
      </c>
      <c r="BA129">
        <v>0.38724182869898816</v>
      </c>
      <c r="BB129">
        <v>0.42594219302321101</v>
      </c>
      <c r="BC129">
        <v>0.4365897877426676</v>
      </c>
      <c r="BD129">
        <v>0.44090067720174281</v>
      </c>
      <c r="BE129">
        <v>0.4500388170460915</v>
      </c>
      <c r="BF129">
        <v>0.45807119604517554</v>
      </c>
      <c r="BG129">
        <v>0.46645589516118341</v>
      </c>
      <c r="BH129">
        <v>0.47687475251293421</v>
      </c>
      <c r="BI129">
        <v>0.48599977516638493</v>
      </c>
      <c r="BJ129">
        <v>0.50152028497379331</v>
      </c>
      <c r="BK129">
        <v>0.51958188547675699</v>
      </c>
      <c r="BL129">
        <v>0.56047141881085016</v>
      </c>
      <c r="BM129">
        <v>0.61909759461920633</v>
      </c>
      <c r="BN129">
        <v>0.65849580906971394</v>
      </c>
      <c r="BO129">
        <v>0.68564139758439635</v>
      </c>
      <c r="BP129">
        <v>0.70033511285410632</v>
      </c>
      <c r="BQ129">
        <v>0.7115261086911735</v>
      </c>
      <c r="BR129">
        <v>0.71540351938222568</v>
      </c>
      <c r="BS129">
        <v>0.72643641359465883</v>
      </c>
      <c r="BT129">
        <v>0.75933983826089368</v>
      </c>
      <c r="BU129">
        <v>0.82557007843162844</v>
      </c>
      <c r="BV129">
        <v>0.91705568416658256</v>
      </c>
      <c r="BW129">
        <v>1.0610590871989429</v>
      </c>
      <c r="BX129">
        <v>1.2773202506067654</v>
      </c>
    </row>
    <row r="130" spans="1:76">
      <c r="A130" t="s">
        <v>239</v>
      </c>
      <c r="B130">
        <v>2008</v>
      </c>
      <c r="C130">
        <v>8</v>
      </c>
      <c r="D130">
        <v>7</v>
      </c>
      <c r="E130">
        <v>9.1333333333333329</v>
      </c>
      <c r="F130">
        <v>3</v>
      </c>
      <c r="G130">
        <v>0.20116300000000001</v>
      </c>
      <c r="H130">
        <v>3.8811262124866004</v>
      </c>
      <c r="I130">
        <v>0.95</v>
      </c>
      <c r="J130">
        <v>0.425486645387461</v>
      </c>
      <c r="K130">
        <v>4.7729602564498181</v>
      </c>
      <c r="L130">
        <v>2.0308308480845088</v>
      </c>
      <c r="M130">
        <v>0.90192411966871811</v>
      </c>
      <c r="N130">
        <v>0.85170852708335754</v>
      </c>
      <c r="O130">
        <v>0.804709455043216</v>
      </c>
      <c r="P130">
        <v>0.76626763222683203</v>
      </c>
      <c r="Q130">
        <v>0.72820901048433306</v>
      </c>
      <c r="R130">
        <v>0.69241425710814497</v>
      </c>
      <c r="S130">
        <v>0.66438187010307215</v>
      </c>
      <c r="T130">
        <v>0.63744957834430271</v>
      </c>
      <c r="U130">
        <v>0.61035529398467037</v>
      </c>
      <c r="V130">
        <v>0.57687982606811161</v>
      </c>
      <c r="W130">
        <v>0.54299356569716783</v>
      </c>
      <c r="X130">
        <v>0.51457525510666347</v>
      </c>
      <c r="Y130">
        <v>0.49047153746798683</v>
      </c>
      <c r="Z130">
        <v>0.46836422924968235</v>
      </c>
      <c r="AA130">
        <v>0.44534226156411971</v>
      </c>
      <c r="AB130">
        <v>0.42215030220237038</v>
      </c>
      <c r="AC130">
        <v>0.4009953743635355</v>
      </c>
      <c r="AD130">
        <v>0.38282726883728829</v>
      </c>
      <c r="AE130">
        <v>0.36612579471003354</v>
      </c>
      <c r="AF130">
        <v>0.35127794658998307</v>
      </c>
      <c r="AG130">
        <v>0.33912237716689786</v>
      </c>
      <c r="AH130">
        <v>0.32863462886367462</v>
      </c>
      <c r="AI130">
        <v>0.32057105708460776</v>
      </c>
      <c r="AJ130">
        <v>0.31274294464570512</v>
      </c>
      <c r="AK130">
        <v>0.30009524027567697</v>
      </c>
      <c r="AL130">
        <v>0.28830332544952064</v>
      </c>
      <c r="AM130">
        <v>0.2791201741513436</v>
      </c>
      <c r="AN130">
        <v>0.27070659574605499</v>
      </c>
      <c r="AO130">
        <v>0.26384144885419325</v>
      </c>
      <c r="AP130">
        <v>0.25890690892407353</v>
      </c>
      <c r="AQ130">
        <v>0.25485614184387184</v>
      </c>
      <c r="AR130">
        <v>0.2512443764086123</v>
      </c>
      <c r="AS130">
        <v>0.24304033910779677</v>
      </c>
      <c r="AT130">
        <v>0.23944122809594126</v>
      </c>
      <c r="AU130">
        <v>0.23936501854443343</v>
      </c>
      <c r="AV130">
        <v>0.24396946073152542</v>
      </c>
      <c r="AW130">
        <v>0.25648399940112027</v>
      </c>
      <c r="AX130">
        <v>0.27932060483473792</v>
      </c>
      <c r="AY130">
        <v>0.30710764096153115</v>
      </c>
      <c r="AZ130">
        <v>0.34273851526175114</v>
      </c>
      <c r="BA130">
        <v>0.40574697593347631</v>
      </c>
      <c r="BB130">
        <v>0.44366309795432057</v>
      </c>
      <c r="BC130">
        <v>0.45429272654807323</v>
      </c>
      <c r="BD130">
        <v>0.45868357302657287</v>
      </c>
      <c r="BE130">
        <v>0.46775131612099824</v>
      </c>
      <c r="BF130">
        <v>0.47543078536245698</v>
      </c>
      <c r="BG130">
        <v>0.4834533414882819</v>
      </c>
      <c r="BH130">
        <v>0.49355588960039076</v>
      </c>
      <c r="BI130">
        <v>0.50209776646179516</v>
      </c>
      <c r="BJ130">
        <v>0.51711133917302599</v>
      </c>
      <c r="BK130">
        <v>0.53497567901393228</v>
      </c>
      <c r="BL130">
        <v>0.57618000808647341</v>
      </c>
      <c r="BM130">
        <v>0.63665248451305934</v>
      </c>
      <c r="BN130">
        <v>0.67916774112111455</v>
      </c>
      <c r="BO130">
        <v>0.70928327216293352</v>
      </c>
      <c r="BP130">
        <v>0.72468384243572082</v>
      </c>
      <c r="BQ130">
        <v>0.73376751202555512</v>
      </c>
      <c r="BR130">
        <v>0.73297104185183359</v>
      </c>
      <c r="BS130">
        <v>0.73843349051886087</v>
      </c>
      <c r="BT130">
        <v>0.76683186646695256</v>
      </c>
      <c r="BU130">
        <v>0.82960795201690496</v>
      </c>
      <c r="BV130">
        <v>0.91887395829564722</v>
      </c>
      <c r="BW130">
        <v>1.0601306756289273</v>
      </c>
      <c r="BX130">
        <v>1.2734864285961258</v>
      </c>
    </row>
    <row r="131" spans="1:76">
      <c r="A131" t="s">
        <v>240</v>
      </c>
      <c r="B131">
        <v>2008</v>
      </c>
      <c r="C131">
        <v>8</v>
      </c>
      <c r="D131">
        <v>7</v>
      </c>
      <c r="E131">
        <v>9.2333333333333325</v>
      </c>
      <c r="F131">
        <v>3</v>
      </c>
      <c r="G131">
        <v>0.15227499999999999</v>
      </c>
      <c r="H131">
        <v>2.9195693922322561</v>
      </c>
      <c r="I131">
        <v>0.95</v>
      </c>
      <c r="J131">
        <v>0.39452541902837762</v>
      </c>
      <c r="K131">
        <v>4.8094741111694983</v>
      </c>
      <c r="L131">
        <v>1.8974597890152802</v>
      </c>
      <c r="M131">
        <v>0.74663358072342034</v>
      </c>
      <c r="N131">
        <v>0.70718209736115956</v>
      </c>
      <c r="O131">
        <v>0.6702654068658026</v>
      </c>
      <c r="P131">
        <v>0.64018548198358738</v>
      </c>
      <c r="Q131">
        <v>0.61029396842276118</v>
      </c>
      <c r="R131">
        <v>0.58211051096678845</v>
      </c>
      <c r="S131">
        <v>0.56009228459635219</v>
      </c>
      <c r="T131">
        <v>0.53886105268520079</v>
      </c>
      <c r="U131">
        <v>0.51751043289327225</v>
      </c>
      <c r="V131">
        <v>0.4908493729540902</v>
      </c>
      <c r="W131">
        <v>0.46383815413165908</v>
      </c>
      <c r="X131">
        <v>0.44091397754154965</v>
      </c>
      <c r="Y131">
        <v>0.42138903094456093</v>
      </c>
      <c r="Z131">
        <v>0.40345369357879596</v>
      </c>
      <c r="AA131">
        <v>0.38471850244578032</v>
      </c>
      <c r="AB131">
        <v>0.36585265213114548</v>
      </c>
      <c r="AC131">
        <v>0.34871936294420947</v>
      </c>
      <c r="AD131">
        <v>0.33391354018564379</v>
      </c>
      <c r="AE131">
        <v>0.320391541933778</v>
      </c>
      <c r="AF131">
        <v>0.30859207980080983</v>
      </c>
      <c r="AG131">
        <v>0.29918213039045705</v>
      </c>
      <c r="AH131">
        <v>0.29160653019949401</v>
      </c>
      <c r="AI131">
        <v>0.28641963589824299</v>
      </c>
      <c r="AJ131">
        <v>0.28147316387712346</v>
      </c>
      <c r="AK131">
        <v>0.2711633208667702</v>
      </c>
      <c r="AL131">
        <v>0.26143015948418991</v>
      </c>
      <c r="AM131">
        <v>0.25405689804083209</v>
      </c>
      <c r="AN131">
        <v>0.24734935637353311</v>
      </c>
      <c r="AO131">
        <v>0.2420089489501645</v>
      </c>
      <c r="AP131">
        <v>0.2385984847420014</v>
      </c>
      <c r="AQ131">
        <v>0.23631506466085067</v>
      </c>
      <c r="AR131">
        <v>0.23385335253839801</v>
      </c>
      <c r="AS131">
        <v>0.22741414876145155</v>
      </c>
      <c r="AT131">
        <v>0.22476321925314791</v>
      </c>
      <c r="AU131">
        <v>0.22571960288669268</v>
      </c>
      <c r="AV131">
        <v>0.23107858627679498</v>
      </c>
      <c r="AW131">
        <v>0.24400919202342081</v>
      </c>
      <c r="AX131">
        <v>0.26720061895593328</v>
      </c>
      <c r="AY131">
        <v>0.2954159777189963</v>
      </c>
      <c r="AZ131">
        <v>0.33150437991678433</v>
      </c>
      <c r="BA131">
        <v>0.39492741350107885</v>
      </c>
      <c r="BB131">
        <v>0.43288712368514765</v>
      </c>
      <c r="BC131">
        <v>0.44316006432989952</v>
      </c>
      <c r="BD131">
        <v>0.44718037545917705</v>
      </c>
      <c r="BE131">
        <v>0.45595411568324185</v>
      </c>
      <c r="BF131">
        <v>0.4636373030137339</v>
      </c>
      <c r="BG131">
        <v>0.47166310529721245</v>
      </c>
      <c r="BH131">
        <v>0.48168740110859282</v>
      </c>
      <c r="BI131">
        <v>0.49043748622777233</v>
      </c>
      <c r="BJ131">
        <v>0.50548155618541479</v>
      </c>
      <c r="BK131">
        <v>0.52301820687573797</v>
      </c>
      <c r="BL131">
        <v>0.56300734196246038</v>
      </c>
      <c r="BM131">
        <v>0.62041693590282354</v>
      </c>
      <c r="BN131">
        <v>0.65888287303019177</v>
      </c>
      <c r="BO131">
        <v>0.68529243317322008</v>
      </c>
      <c r="BP131">
        <v>0.69948116732481325</v>
      </c>
      <c r="BQ131">
        <v>0.71026410861210398</v>
      </c>
      <c r="BR131">
        <v>0.71389058586141552</v>
      </c>
      <c r="BS131">
        <v>0.72456903363134861</v>
      </c>
      <c r="BT131">
        <v>0.75674653804142045</v>
      </c>
      <c r="BU131">
        <v>0.82169194343833785</v>
      </c>
      <c r="BV131">
        <v>0.91146112375870736</v>
      </c>
      <c r="BW131">
        <v>1.0528977472700882</v>
      </c>
      <c r="BX131">
        <v>1.265414545960984</v>
      </c>
    </row>
    <row r="132" spans="1:76">
      <c r="A132" t="s">
        <v>241</v>
      </c>
      <c r="B132">
        <v>2008</v>
      </c>
      <c r="C132">
        <v>8</v>
      </c>
      <c r="D132">
        <v>7</v>
      </c>
      <c r="E132">
        <v>9.3333333333333339</v>
      </c>
      <c r="F132">
        <v>3</v>
      </c>
      <c r="G132">
        <v>0.27258199999999999</v>
      </c>
      <c r="H132">
        <v>3.7442895522078929</v>
      </c>
      <c r="I132">
        <v>0.9</v>
      </c>
      <c r="J132">
        <v>0.43471373747963332</v>
      </c>
      <c r="K132">
        <v>5.0025409559122824</v>
      </c>
      <c r="L132">
        <v>2.1746732758395657</v>
      </c>
      <c r="M132">
        <v>1.0620844275642194</v>
      </c>
      <c r="N132">
        <v>0.99578549860192611</v>
      </c>
      <c r="O132">
        <v>0.93425690474735212</v>
      </c>
      <c r="P132">
        <v>0.88248360683477223</v>
      </c>
      <c r="Q132">
        <v>0.83245136493012106</v>
      </c>
      <c r="R132">
        <v>0.78584508406519826</v>
      </c>
      <c r="S132">
        <v>0.74783143710987443</v>
      </c>
      <c r="T132">
        <v>0.71189976263449906</v>
      </c>
      <c r="U132">
        <v>0.67675852430038996</v>
      </c>
      <c r="V132">
        <v>0.63634059576688085</v>
      </c>
      <c r="W132">
        <v>0.59632024740624923</v>
      </c>
      <c r="X132">
        <v>0.56221364843728094</v>
      </c>
      <c r="Y132">
        <v>0.53287299523576259</v>
      </c>
      <c r="Z132">
        <v>0.50602387838716922</v>
      </c>
      <c r="AA132">
        <v>0.4788252146073177</v>
      </c>
      <c r="AB132">
        <v>0.4519538605858695</v>
      </c>
      <c r="AC132">
        <v>0.4274769309956527</v>
      </c>
      <c r="AD132">
        <v>0.40623115117560277</v>
      </c>
      <c r="AE132">
        <v>0.38675292818188467</v>
      </c>
      <c r="AF132">
        <v>0.36939624853296621</v>
      </c>
      <c r="AG132">
        <v>0.35492264434597476</v>
      </c>
      <c r="AH132">
        <v>0.34236273308819526</v>
      </c>
      <c r="AI132">
        <v>0.33240973475488644</v>
      </c>
      <c r="AJ132">
        <v>0.32291284698662159</v>
      </c>
      <c r="AK132">
        <v>0.30883026059110646</v>
      </c>
      <c r="AL132">
        <v>0.29572871876669282</v>
      </c>
      <c r="AM132">
        <v>0.28531077879987965</v>
      </c>
      <c r="AN132">
        <v>0.27578604662312722</v>
      </c>
      <c r="AO132">
        <v>0.26789031872159014</v>
      </c>
      <c r="AP132">
        <v>0.26200848845752839</v>
      </c>
      <c r="AQ132">
        <v>0.25714200119968611</v>
      </c>
      <c r="AR132">
        <v>0.25273309615084893</v>
      </c>
      <c r="AS132">
        <v>0.24399780897162043</v>
      </c>
      <c r="AT132">
        <v>0.23975767101338594</v>
      </c>
      <c r="AU132">
        <v>0.23906923369150654</v>
      </c>
      <c r="AV132">
        <v>0.24302080227847789</v>
      </c>
      <c r="AW132">
        <v>0.25478542050021258</v>
      </c>
      <c r="AX132">
        <v>0.276792036703573</v>
      </c>
      <c r="AY132">
        <v>0.30378196358812437</v>
      </c>
      <c r="AZ132">
        <v>0.33860628450456531</v>
      </c>
      <c r="BA132">
        <v>0.40056844510105055</v>
      </c>
      <c r="BB132">
        <v>0.43775406454722438</v>
      </c>
      <c r="BC132">
        <v>0.44794150041829772</v>
      </c>
      <c r="BD132">
        <v>0.45198879149067939</v>
      </c>
      <c r="BE132">
        <v>0.46070298580333791</v>
      </c>
      <c r="BF132">
        <v>0.46811146967924233</v>
      </c>
      <c r="BG132">
        <v>0.47588382492822467</v>
      </c>
      <c r="BH132">
        <v>0.48572542875279556</v>
      </c>
      <c r="BI132">
        <v>0.49408195785081144</v>
      </c>
      <c r="BJ132">
        <v>0.50883806633272033</v>
      </c>
      <c r="BK132">
        <v>0.5263835375119339</v>
      </c>
      <c r="BL132">
        <v>0.5669216088336928</v>
      </c>
      <c r="BM132">
        <v>0.62629496628603754</v>
      </c>
      <c r="BN132">
        <v>0.6677756663639427</v>
      </c>
      <c r="BO132">
        <v>0.69704095572502567</v>
      </c>
      <c r="BP132">
        <v>0.71209007957485881</v>
      </c>
      <c r="BQ132">
        <v>0.72129285547179689</v>
      </c>
      <c r="BR132">
        <v>0.72109673336068081</v>
      </c>
      <c r="BS132">
        <v>0.72721171250543937</v>
      </c>
      <c r="BT132">
        <v>0.75584074455359407</v>
      </c>
      <c r="BU132">
        <v>0.81828598179787859</v>
      </c>
      <c r="BV132">
        <v>0.90673152445678462</v>
      </c>
      <c r="BW132">
        <v>1.0466034888733859</v>
      </c>
      <c r="BX132">
        <v>1.2577115184524441</v>
      </c>
    </row>
    <row r="133" spans="1:76">
      <c r="A133" t="s">
        <v>242</v>
      </c>
      <c r="B133">
        <v>2008</v>
      </c>
      <c r="C133">
        <v>8</v>
      </c>
      <c r="D133">
        <v>7</v>
      </c>
      <c r="E133">
        <v>9.4333333333333336</v>
      </c>
      <c r="F133">
        <v>3</v>
      </c>
      <c r="G133">
        <v>0.15513199999999999</v>
      </c>
      <c r="H133">
        <v>3.2974218484803326</v>
      </c>
      <c r="I133">
        <v>1.3</v>
      </c>
      <c r="J133">
        <v>0.43995748995090728</v>
      </c>
      <c r="K133">
        <v>3.5424088627383989</v>
      </c>
      <c r="L133">
        <v>1.558509311630234</v>
      </c>
      <c r="M133">
        <v>0.8369039784525143</v>
      </c>
      <c r="N133">
        <v>0.79564139290462332</v>
      </c>
      <c r="O133">
        <v>0.75685577398484116</v>
      </c>
      <c r="P133">
        <v>0.72523923842829841</v>
      </c>
      <c r="Q133">
        <v>0.69364588825085038</v>
      </c>
      <c r="R133">
        <v>0.66374481135810248</v>
      </c>
      <c r="S133">
        <v>0.64037592041202518</v>
      </c>
      <c r="T133">
        <v>0.61773492743495817</v>
      </c>
      <c r="U133">
        <v>0.59480096767824786</v>
      </c>
      <c r="V133">
        <v>0.5660444876525923</v>
      </c>
      <c r="W133">
        <v>0.53677797309858299</v>
      </c>
      <c r="X133">
        <v>0.51198316197811056</v>
      </c>
      <c r="Y133">
        <v>0.49081051938424092</v>
      </c>
      <c r="Z133">
        <v>0.47127667176255794</v>
      </c>
      <c r="AA133">
        <v>0.45080949564373685</v>
      </c>
      <c r="AB133">
        <v>0.43010867462041169</v>
      </c>
      <c r="AC133">
        <v>0.41117107051447815</v>
      </c>
      <c r="AD133">
        <v>0.39474461243308923</v>
      </c>
      <c r="AE133">
        <v>0.37960788541568724</v>
      </c>
      <c r="AF133">
        <v>0.36618809375801842</v>
      </c>
      <c r="AG133">
        <v>0.3552317856784607</v>
      </c>
      <c r="AH133">
        <v>0.34600304266674875</v>
      </c>
      <c r="AI133">
        <v>0.3391491549441612</v>
      </c>
      <c r="AJ133">
        <v>0.33250855640021915</v>
      </c>
      <c r="AK133">
        <v>0.32068244526797868</v>
      </c>
      <c r="AL133">
        <v>0.3095190481323124</v>
      </c>
      <c r="AM133">
        <v>0.30080601764055603</v>
      </c>
      <c r="AN133">
        <v>0.29278728146768818</v>
      </c>
      <c r="AO133">
        <v>0.2862056179929075</v>
      </c>
      <c r="AP133">
        <v>0.28156021635523032</v>
      </c>
      <c r="AQ133">
        <v>0.27794591798558621</v>
      </c>
      <c r="AR133">
        <v>0.27439925889653199</v>
      </c>
      <c r="AS133">
        <v>0.26657972072774239</v>
      </c>
      <c r="AT133">
        <v>0.26291741366722521</v>
      </c>
      <c r="AU133">
        <v>0.2628659562957984</v>
      </c>
      <c r="AV133">
        <v>0.26737326969624653</v>
      </c>
      <c r="AW133">
        <v>0.2796416451062943</v>
      </c>
      <c r="AX133">
        <v>0.30220787143166061</v>
      </c>
      <c r="AY133">
        <v>0.32968975960045616</v>
      </c>
      <c r="AZ133">
        <v>0.36491383829864965</v>
      </c>
      <c r="BA133">
        <v>0.42718774545842647</v>
      </c>
      <c r="BB133">
        <v>0.46418665088458677</v>
      </c>
      <c r="BC133">
        <v>0.47388188293882788</v>
      </c>
      <c r="BD133">
        <v>0.47738895092342898</v>
      </c>
      <c r="BE133">
        <v>0.48557227467540015</v>
      </c>
      <c r="BF133">
        <v>0.49255687021888539</v>
      </c>
      <c r="BG133">
        <v>0.49988055804239523</v>
      </c>
      <c r="BH133">
        <v>0.50921349382423842</v>
      </c>
      <c r="BI133">
        <v>0.51717173569047348</v>
      </c>
      <c r="BJ133">
        <v>0.53142489599418341</v>
      </c>
      <c r="BK133">
        <v>0.5482816457081755</v>
      </c>
      <c r="BL133">
        <v>0.58766891982413527</v>
      </c>
      <c r="BM133">
        <v>0.6449791390666415</v>
      </c>
      <c r="BN133">
        <v>0.68396310227766044</v>
      </c>
      <c r="BO133">
        <v>0.71090415881843017</v>
      </c>
      <c r="BP133">
        <v>0.72478960771129564</v>
      </c>
      <c r="BQ133">
        <v>0.73415932210201618</v>
      </c>
      <c r="BR133">
        <v>0.73538689543138103</v>
      </c>
      <c r="BS133">
        <v>0.74326303224941648</v>
      </c>
      <c r="BT133">
        <v>0.77293268268642024</v>
      </c>
      <c r="BU133">
        <v>0.83558466537193365</v>
      </c>
      <c r="BV133">
        <v>0.92339700357392829</v>
      </c>
      <c r="BW133">
        <v>1.0623309432659997</v>
      </c>
      <c r="BX133">
        <v>1.2718222955818601</v>
      </c>
    </row>
    <row r="134" spans="1:76">
      <c r="A134" t="s">
        <v>243</v>
      </c>
      <c r="B134">
        <v>2008</v>
      </c>
      <c r="C134">
        <v>8</v>
      </c>
      <c r="D134">
        <v>7</v>
      </c>
      <c r="E134">
        <v>9.5333333333333332</v>
      </c>
      <c r="F134">
        <v>3</v>
      </c>
      <c r="G134">
        <v>0.22312100000000001</v>
      </c>
      <c r="H134">
        <v>4.0780547245320937</v>
      </c>
      <c r="I134">
        <v>1</v>
      </c>
      <c r="J134">
        <v>0.43367029675911867</v>
      </c>
      <c r="K134">
        <v>4.5504652998066275</v>
      </c>
      <c r="L134">
        <v>1.973401636959212</v>
      </c>
      <c r="M134">
        <v>0.95706573471315137</v>
      </c>
      <c r="N134">
        <v>0.90271955062032272</v>
      </c>
      <c r="O134">
        <v>0.85192204642213687</v>
      </c>
      <c r="P134">
        <v>0.81007012410502066</v>
      </c>
      <c r="Q134">
        <v>0.76885724471187677</v>
      </c>
      <c r="R134">
        <v>0.73017281672289436</v>
      </c>
      <c r="S134">
        <v>0.69956869091102769</v>
      </c>
      <c r="T134">
        <v>0.67027062105909418</v>
      </c>
      <c r="U134">
        <v>0.6409618235001493</v>
      </c>
      <c r="V134">
        <v>0.6053591825200525</v>
      </c>
      <c r="W134">
        <v>0.5694734902157349</v>
      </c>
      <c r="X134">
        <v>0.53931192010888285</v>
      </c>
      <c r="Y134">
        <v>0.51364709844118595</v>
      </c>
      <c r="Z134">
        <v>0.49010677822334142</v>
      </c>
      <c r="AA134">
        <v>0.46573796600465411</v>
      </c>
      <c r="AB134">
        <v>0.44127692130235946</v>
      </c>
      <c r="AC134">
        <v>0.41893555363508972</v>
      </c>
      <c r="AD134">
        <v>0.39970237459315738</v>
      </c>
      <c r="AE134">
        <v>0.38199565080598225</v>
      </c>
      <c r="AF134">
        <v>0.36618149315419607</v>
      </c>
      <c r="AG134">
        <v>0.35310573525012201</v>
      </c>
      <c r="AH134">
        <v>0.3416721562179606</v>
      </c>
      <c r="AI134">
        <v>0.3326582359632333</v>
      </c>
      <c r="AJ134">
        <v>0.32391387688472517</v>
      </c>
      <c r="AK134">
        <v>0.31058718574904076</v>
      </c>
      <c r="AL134">
        <v>0.29818008348429381</v>
      </c>
      <c r="AM134">
        <v>0.28840221733599436</v>
      </c>
      <c r="AN134">
        <v>0.27942565739861941</v>
      </c>
      <c r="AO134">
        <v>0.2720244997224156</v>
      </c>
      <c r="AP134">
        <v>0.2665361395376854</v>
      </c>
      <c r="AQ134">
        <v>0.26188918307946352</v>
      </c>
      <c r="AR134">
        <v>0.25781154083056057</v>
      </c>
      <c r="AS134">
        <v>0.24912952657341056</v>
      </c>
      <c r="AT134">
        <v>0.24513627542262412</v>
      </c>
      <c r="AU134">
        <v>0.24459941165603849</v>
      </c>
      <c r="AV134">
        <v>0.24872315864414501</v>
      </c>
      <c r="AW134">
        <v>0.26068412703037536</v>
      </c>
      <c r="AX134">
        <v>0.2827847963799347</v>
      </c>
      <c r="AY134">
        <v>0.30971989250952658</v>
      </c>
      <c r="AZ134">
        <v>0.34432379174947986</v>
      </c>
      <c r="BA134">
        <v>0.40571346570671291</v>
      </c>
      <c r="BB134">
        <v>0.44260537558008173</v>
      </c>
      <c r="BC134">
        <v>0.4528873935797213</v>
      </c>
      <c r="BD134">
        <v>0.45707645181225243</v>
      </c>
      <c r="BE134">
        <v>0.46583004948289924</v>
      </c>
      <c r="BF134">
        <v>0.47317369927967862</v>
      </c>
      <c r="BG134">
        <v>0.4808573335691152</v>
      </c>
      <c r="BH134">
        <v>0.49059435358906706</v>
      </c>
      <c r="BI134">
        <v>0.49875393541317631</v>
      </c>
      <c r="BJ134">
        <v>0.51328054778645771</v>
      </c>
      <c r="BK134">
        <v>0.53066536012747001</v>
      </c>
      <c r="BL134">
        <v>0.57103377755310547</v>
      </c>
      <c r="BM134">
        <v>0.63059031489412964</v>
      </c>
      <c r="BN134">
        <v>0.67278824266032355</v>
      </c>
      <c r="BO134">
        <v>0.70280184099713894</v>
      </c>
      <c r="BP134">
        <v>0.71795351426590714</v>
      </c>
      <c r="BQ134">
        <v>0.72637397330457498</v>
      </c>
      <c r="BR134">
        <v>0.724618882927616</v>
      </c>
      <c r="BS134">
        <v>0.72883039695431673</v>
      </c>
      <c r="BT134">
        <v>0.75573615821069573</v>
      </c>
      <c r="BU134">
        <v>0.81655151848209995</v>
      </c>
      <c r="BV134">
        <v>0.90357735585237531</v>
      </c>
      <c r="BW134">
        <v>1.0414787339550402</v>
      </c>
      <c r="BX134">
        <v>1.2500419304383403</v>
      </c>
    </row>
    <row r="135" spans="1:76">
      <c r="A135" t="s">
        <v>244</v>
      </c>
      <c r="B135">
        <v>2008</v>
      </c>
      <c r="C135">
        <v>8</v>
      </c>
      <c r="D135">
        <v>7</v>
      </c>
      <c r="E135">
        <v>9.6833333333333336</v>
      </c>
      <c r="F135">
        <v>3</v>
      </c>
      <c r="G135">
        <v>0.170131</v>
      </c>
      <c r="H135">
        <v>3.4993548183649064</v>
      </c>
      <c r="I135">
        <v>0.75</v>
      </c>
      <c r="J135">
        <v>0.37805883146038499</v>
      </c>
      <c r="K135">
        <v>5.9886116282235573</v>
      </c>
      <c r="L135">
        <v>2.2640475142362715</v>
      </c>
      <c r="M135">
        <v>0.74610355252435978</v>
      </c>
      <c r="N135">
        <v>0.70518975212658608</v>
      </c>
      <c r="O135">
        <v>0.66685094058006933</v>
      </c>
      <c r="P135">
        <v>0.63591860240717735</v>
      </c>
      <c r="Q135">
        <v>0.60503859181822894</v>
      </c>
      <c r="R135">
        <v>0.57592824946023413</v>
      </c>
      <c r="S135">
        <v>0.55356061125775724</v>
      </c>
      <c r="T135">
        <v>0.53195719690288101</v>
      </c>
      <c r="U135">
        <v>0.51004068890605991</v>
      </c>
      <c r="V135">
        <v>0.48216992614522247</v>
      </c>
      <c r="W135">
        <v>0.45378022991540312</v>
      </c>
      <c r="X135">
        <v>0.43006049396943935</v>
      </c>
      <c r="Y135">
        <v>0.41007547682433781</v>
      </c>
      <c r="Z135">
        <v>0.39177224771414149</v>
      </c>
      <c r="AA135">
        <v>0.37252704294641026</v>
      </c>
      <c r="AB135">
        <v>0.35304789740464587</v>
      </c>
      <c r="AC135">
        <v>0.33535582336778147</v>
      </c>
      <c r="AD135">
        <v>0.32024618457221132</v>
      </c>
      <c r="AE135">
        <v>0.30642624288746612</v>
      </c>
      <c r="AF135">
        <v>0.29429708219805523</v>
      </c>
      <c r="AG135">
        <v>0.2846076180786804</v>
      </c>
      <c r="AH135">
        <v>0.27653932275403559</v>
      </c>
      <c r="AI135">
        <v>0.27075311453903478</v>
      </c>
      <c r="AJ135">
        <v>0.26515115196276839</v>
      </c>
      <c r="AK135">
        <v>0.25464635669252089</v>
      </c>
      <c r="AL135">
        <v>0.2448298806368045</v>
      </c>
      <c r="AM135">
        <v>0.23740588934314613</v>
      </c>
      <c r="AN135">
        <v>0.23065565338241806</v>
      </c>
      <c r="AO135">
        <v>0.22529987460348178</v>
      </c>
      <c r="AP135">
        <v>0.221771127593413</v>
      </c>
      <c r="AQ135">
        <v>0.21915455111195081</v>
      </c>
      <c r="AR135">
        <v>0.21670678736764554</v>
      </c>
      <c r="AS135">
        <v>0.21004306250307675</v>
      </c>
      <c r="AT135">
        <v>0.2074843854918961</v>
      </c>
      <c r="AU135">
        <v>0.20832256744322142</v>
      </c>
      <c r="AV135">
        <v>0.21353894321300237</v>
      </c>
      <c r="AW135">
        <v>0.22622834829700969</v>
      </c>
      <c r="AX135">
        <v>0.24884442361851933</v>
      </c>
      <c r="AY135">
        <v>0.27628990130476538</v>
      </c>
      <c r="AZ135">
        <v>0.3113651899799485</v>
      </c>
      <c r="BA135">
        <v>0.37300642728047628</v>
      </c>
      <c r="BB135">
        <v>0.41023147063964349</v>
      </c>
      <c r="BC135">
        <v>0.42082517689028909</v>
      </c>
      <c r="BD135">
        <v>0.42534805449035462</v>
      </c>
      <c r="BE135">
        <v>0.43443183122648055</v>
      </c>
      <c r="BF135">
        <v>0.4422721604619021</v>
      </c>
      <c r="BG135">
        <v>0.45043833124857063</v>
      </c>
      <c r="BH135">
        <v>0.46058759543485978</v>
      </c>
      <c r="BI135">
        <v>0.46932304894622823</v>
      </c>
      <c r="BJ135">
        <v>0.48427670944993073</v>
      </c>
      <c r="BK135">
        <v>0.50186153458320459</v>
      </c>
      <c r="BL135">
        <v>0.54178670175451826</v>
      </c>
      <c r="BM135">
        <v>0.59974828589182572</v>
      </c>
      <c r="BN135">
        <v>0.63988879495702788</v>
      </c>
      <c r="BO135">
        <v>0.66810128814283365</v>
      </c>
      <c r="BP135">
        <v>0.68294193798672154</v>
      </c>
      <c r="BQ135">
        <v>0.69273612963971121</v>
      </c>
      <c r="BR135">
        <v>0.69395152514141134</v>
      </c>
      <c r="BS135">
        <v>0.70154883202862106</v>
      </c>
      <c r="BT135">
        <v>0.73090240929231887</v>
      </c>
      <c r="BU135">
        <v>0.79307420526070316</v>
      </c>
      <c r="BV135">
        <v>0.88037463525541537</v>
      </c>
      <c r="BW135">
        <v>1.0181085715888194</v>
      </c>
      <c r="BX135">
        <v>1.2255671914611894</v>
      </c>
    </row>
    <row r="136" spans="1:76">
      <c r="A136" t="s">
        <v>245</v>
      </c>
      <c r="B136">
        <v>2008</v>
      </c>
      <c r="C136">
        <v>8</v>
      </c>
      <c r="D136">
        <v>7</v>
      </c>
      <c r="E136">
        <v>9.8166666666666664</v>
      </c>
      <c r="F136">
        <v>3</v>
      </c>
      <c r="G136">
        <v>0.23053199999999999</v>
      </c>
      <c r="H136">
        <v>4.3379851658157795</v>
      </c>
      <c r="I136">
        <v>1.4</v>
      </c>
      <c r="J136">
        <v>0.48069765882663301</v>
      </c>
      <c r="K136">
        <v>3.2905188663697067</v>
      </c>
      <c r="L136">
        <v>1.5817447153887845</v>
      </c>
      <c r="M136">
        <v>1.0592394986808069</v>
      </c>
      <c r="N136">
        <v>1.0020545395731935</v>
      </c>
      <c r="O136">
        <v>0.94849776190832458</v>
      </c>
      <c r="P136">
        <v>0.9041407303016854</v>
      </c>
      <c r="Q136">
        <v>0.86044198145925699</v>
      </c>
      <c r="R136">
        <v>0.81935471982072028</v>
      </c>
      <c r="S136">
        <v>0.78659954484980577</v>
      </c>
      <c r="T136">
        <v>0.75520007069840067</v>
      </c>
      <c r="U136">
        <v>0.72377594221934405</v>
      </c>
      <c r="V136">
        <v>0.6858942364515036</v>
      </c>
      <c r="W136">
        <v>0.64771452359259785</v>
      </c>
      <c r="X136">
        <v>0.61550503005550217</v>
      </c>
      <c r="Y136">
        <v>0.58794694153858651</v>
      </c>
      <c r="Z136">
        <v>0.56258091071491312</v>
      </c>
      <c r="AA136">
        <v>0.53636746263289981</v>
      </c>
      <c r="AB136">
        <v>0.51004972722970043</v>
      </c>
      <c r="AC136">
        <v>0.48589246625253624</v>
      </c>
      <c r="AD136">
        <v>0.46496118989220037</v>
      </c>
      <c r="AE136">
        <v>0.44557989773348189</v>
      </c>
      <c r="AF136">
        <v>0.42810265212498488</v>
      </c>
      <c r="AG136">
        <v>0.41341281866939694</v>
      </c>
      <c r="AH136">
        <v>0.40031348294445412</v>
      </c>
      <c r="AI136">
        <v>0.38963139210717002</v>
      </c>
      <c r="AJ136">
        <v>0.37922330910174029</v>
      </c>
      <c r="AK136">
        <v>0.36438641454873766</v>
      </c>
      <c r="AL136">
        <v>0.35052949063153332</v>
      </c>
      <c r="AM136">
        <v>0.33935693758336488</v>
      </c>
      <c r="AN136">
        <v>0.32901451271343868</v>
      </c>
      <c r="AO136">
        <v>0.32029816571152203</v>
      </c>
      <c r="AP136">
        <v>0.31350602677656425</v>
      </c>
      <c r="AQ136">
        <v>0.30750839873633129</v>
      </c>
      <c r="AR136">
        <v>0.30224639296735983</v>
      </c>
      <c r="AS136">
        <v>0.2922168959257932</v>
      </c>
      <c r="AT136">
        <v>0.28711046280316704</v>
      </c>
      <c r="AU136">
        <v>0.28547302665422386</v>
      </c>
      <c r="AV136">
        <v>0.28860481913800473</v>
      </c>
      <c r="AW136">
        <v>0.29969585487803679</v>
      </c>
      <c r="AX136">
        <v>0.32093158231665825</v>
      </c>
      <c r="AY136">
        <v>0.34690548980602853</v>
      </c>
      <c r="AZ136">
        <v>0.38041177847613195</v>
      </c>
      <c r="BA136">
        <v>0.44033460662339297</v>
      </c>
      <c r="BB136">
        <v>0.4759861137440547</v>
      </c>
      <c r="BC136">
        <v>0.48544477977902162</v>
      </c>
      <c r="BD136">
        <v>0.48889971174040314</v>
      </c>
      <c r="BE136">
        <v>0.49684438719682833</v>
      </c>
      <c r="BF136">
        <v>0.50332967152086305</v>
      </c>
      <c r="BG136">
        <v>0.51015489369966704</v>
      </c>
      <c r="BH136">
        <v>0.51902813229754585</v>
      </c>
      <c r="BI136">
        <v>0.52627987553173783</v>
      </c>
      <c r="BJ136">
        <v>0.53985258111916601</v>
      </c>
      <c r="BK136">
        <v>0.55632881609861107</v>
      </c>
      <c r="BL136">
        <v>0.59564314393586748</v>
      </c>
      <c r="BM136">
        <v>0.65427717243367123</v>
      </c>
      <c r="BN136">
        <v>0.69606760915415278</v>
      </c>
      <c r="BO136">
        <v>0.72578778929243837</v>
      </c>
      <c r="BP136">
        <v>0.74027877459526026</v>
      </c>
      <c r="BQ136">
        <v>0.74743787120003857</v>
      </c>
      <c r="BR136">
        <v>0.74392591844123046</v>
      </c>
      <c r="BS136">
        <v>0.74609002252150247</v>
      </c>
      <c r="BT136">
        <v>0.77092740201836951</v>
      </c>
      <c r="BU136">
        <v>0.82950600580601763</v>
      </c>
      <c r="BV136">
        <v>0.9142653777034242</v>
      </c>
      <c r="BW136">
        <v>1.0491265025843235</v>
      </c>
      <c r="BX136">
        <v>1.2537147380387008</v>
      </c>
    </row>
    <row r="137" spans="1:76">
      <c r="A137" t="s">
        <v>246</v>
      </c>
      <c r="B137">
        <v>2008</v>
      </c>
      <c r="C137">
        <v>8</v>
      </c>
      <c r="D137">
        <v>7</v>
      </c>
      <c r="E137">
        <v>9.9499999999999993</v>
      </c>
      <c r="F137">
        <v>3</v>
      </c>
      <c r="G137">
        <v>0.16400300000000001</v>
      </c>
      <c r="H137">
        <v>3.6323412368771235</v>
      </c>
      <c r="I137">
        <v>1.1000000000000001</v>
      </c>
      <c r="J137">
        <v>0.41536150971021274</v>
      </c>
      <c r="K137">
        <v>4.1826441445609186</v>
      </c>
      <c r="L137">
        <v>1.7373093864654043</v>
      </c>
      <c r="M137">
        <v>0.80351698449088449</v>
      </c>
      <c r="N137">
        <v>0.76277492321844986</v>
      </c>
      <c r="O137">
        <v>0.7244543778931174</v>
      </c>
      <c r="P137">
        <v>0.69347539020652771</v>
      </c>
      <c r="Q137">
        <v>0.66240879155873456</v>
      </c>
      <c r="R137">
        <v>0.6330123198199753</v>
      </c>
      <c r="S137">
        <v>0.61034133784891142</v>
      </c>
      <c r="T137">
        <v>0.58834729768692995</v>
      </c>
      <c r="U137">
        <v>0.56593232630034529</v>
      </c>
      <c r="V137">
        <v>0.53740252283060752</v>
      </c>
      <c r="W137">
        <v>0.50825489867581108</v>
      </c>
      <c r="X137">
        <v>0.48381489170743142</v>
      </c>
      <c r="Y137">
        <v>0.46311156948690491</v>
      </c>
      <c r="Z137">
        <v>0.4440576976319171</v>
      </c>
      <c r="AA137">
        <v>0.42399032485137911</v>
      </c>
      <c r="AB137">
        <v>0.4036234162985185</v>
      </c>
      <c r="AC137">
        <v>0.3850122686127076</v>
      </c>
      <c r="AD137">
        <v>0.3690048232275317</v>
      </c>
      <c r="AE137">
        <v>0.35426127340936914</v>
      </c>
      <c r="AF137">
        <v>0.34118367553208123</v>
      </c>
      <c r="AG137">
        <v>0.33055147320386125</v>
      </c>
      <c r="AH137">
        <v>0.32149348452185783</v>
      </c>
      <c r="AI137">
        <v>0.31470643383281111</v>
      </c>
      <c r="AJ137">
        <v>0.30808970702868166</v>
      </c>
      <c r="AK137">
        <v>0.29661099597092688</v>
      </c>
      <c r="AL137">
        <v>0.28583956606727867</v>
      </c>
      <c r="AM137">
        <v>0.2774915937702237</v>
      </c>
      <c r="AN137">
        <v>0.2698257451621428</v>
      </c>
      <c r="AO137">
        <v>0.26358229964416924</v>
      </c>
      <c r="AP137">
        <v>0.25917864347940467</v>
      </c>
      <c r="AQ137">
        <v>0.25566307937575317</v>
      </c>
      <c r="AR137">
        <v>0.25240044522868271</v>
      </c>
      <c r="AS137">
        <v>0.24479764264708367</v>
      </c>
      <c r="AT137">
        <v>0.24145248168680053</v>
      </c>
      <c r="AU137">
        <v>0.2415342448356419</v>
      </c>
      <c r="AV137">
        <v>0.24607772625035557</v>
      </c>
      <c r="AW137">
        <v>0.25819119100191085</v>
      </c>
      <c r="AX137">
        <v>0.28024394390748519</v>
      </c>
      <c r="AY137">
        <v>0.30702822587512224</v>
      </c>
      <c r="AZ137">
        <v>0.34130468749160775</v>
      </c>
      <c r="BA137">
        <v>0.40180532952306025</v>
      </c>
      <c r="BB137">
        <v>0.438005898729459</v>
      </c>
      <c r="BC137">
        <v>0.44789142914981733</v>
      </c>
      <c r="BD137">
        <v>0.45177808553884791</v>
      </c>
      <c r="BE137">
        <v>0.46016293792687152</v>
      </c>
      <c r="BF137">
        <v>0.46728066643241922</v>
      </c>
      <c r="BG137">
        <v>0.47472098407678565</v>
      </c>
      <c r="BH137">
        <v>0.48413026755180089</v>
      </c>
      <c r="BI137">
        <v>0.49210680867912587</v>
      </c>
      <c r="BJ137">
        <v>0.50624379253057716</v>
      </c>
      <c r="BK137">
        <v>0.52302076839092881</v>
      </c>
      <c r="BL137">
        <v>0.56193311925897704</v>
      </c>
      <c r="BM137">
        <v>0.61884564943999165</v>
      </c>
      <c r="BN137">
        <v>0.65831686798406763</v>
      </c>
      <c r="BO137">
        <v>0.68598946763353608</v>
      </c>
      <c r="BP137">
        <v>0.70016304922057748</v>
      </c>
      <c r="BQ137">
        <v>0.70898711114120028</v>
      </c>
      <c r="BR137">
        <v>0.70900884372602058</v>
      </c>
      <c r="BS137">
        <v>0.71521493515109624</v>
      </c>
      <c r="BT137">
        <v>0.74303887529832613</v>
      </c>
      <c r="BU137">
        <v>0.8033950059524998</v>
      </c>
      <c r="BV137">
        <v>0.8887143373738593</v>
      </c>
      <c r="BW137">
        <v>1.0237408737339786</v>
      </c>
      <c r="BX137">
        <v>1.2275631118905519</v>
      </c>
    </row>
    <row r="138" spans="1:76">
      <c r="A138" t="s">
        <v>247</v>
      </c>
      <c r="B138">
        <v>2008</v>
      </c>
      <c r="C138">
        <v>8</v>
      </c>
      <c r="D138">
        <v>7</v>
      </c>
      <c r="E138">
        <v>10.050000000000001</v>
      </c>
      <c r="F138">
        <v>3</v>
      </c>
      <c r="G138">
        <v>0.18642900000000001</v>
      </c>
      <c r="H138">
        <v>3.9868827804353111</v>
      </c>
      <c r="I138">
        <v>5</v>
      </c>
      <c r="J138">
        <v>0.86828607574989336</v>
      </c>
      <c r="K138">
        <v>0.87413296192273993</v>
      </c>
      <c r="L138">
        <v>0.75899747919152682</v>
      </c>
      <c r="M138">
        <v>1.7386217515407929</v>
      </c>
      <c r="N138">
        <v>1.6721832157982188</v>
      </c>
      <c r="O138">
        <v>1.6092421781360682</v>
      </c>
      <c r="P138">
        <v>1.5549826086116618</v>
      </c>
      <c r="Q138">
        <v>1.5014826209170626</v>
      </c>
      <c r="R138">
        <v>1.4505692861964421</v>
      </c>
      <c r="S138">
        <v>1.4075511588273408</v>
      </c>
      <c r="T138">
        <v>1.365971798783931</v>
      </c>
      <c r="U138">
        <v>1.3245936759560408</v>
      </c>
      <c r="V138">
        <v>1.2774346208521929</v>
      </c>
      <c r="W138">
        <v>1.2302381881741937</v>
      </c>
      <c r="X138">
        <v>1.1886930834609264</v>
      </c>
      <c r="Y138">
        <v>1.1516389981003363</v>
      </c>
      <c r="Z138">
        <v>1.1168163990442976</v>
      </c>
      <c r="AA138">
        <v>1.0814095189529984</v>
      </c>
      <c r="AB138">
        <v>1.0461185798195722</v>
      </c>
      <c r="AC138">
        <v>1.0130293373206727</v>
      </c>
      <c r="AD138">
        <v>0.98305202794205782</v>
      </c>
      <c r="AE138">
        <v>0.95468752575519367</v>
      </c>
      <c r="AF138">
        <v>0.92829167959636205</v>
      </c>
      <c r="AG138">
        <v>0.90466080331719079</v>
      </c>
      <c r="AH138">
        <v>0.88276592333506843</v>
      </c>
      <c r="AI138">
        <v>0.86336375212960292</v>
      </c>
      <c r="AJ138">
        <v>0.84436787072182662</v>
      </c>
      <c r="AK138">
        <v>0.82092043021088812</v>
      </c>
      <c r="AL138">
        <v>0.79842933300245367</v>
      </c>
      <c r="AM138">
        <v>0.77860900959431767</v>
      </c>
      <c r="AN138">
        <v>0.75967320919015813</v>
      </c>
      <c r="AO138">
        <v>0.74240018312374212</v>
      </c>
      <c r="AP138">
        <v>0.7271701840528233</v>
      </c>
      <c r="AQ138">
        <v>0.71294266198562417</v>
      </c>
      <c r="AR138">
        <v>0.69937479637280231</v>
      </c>
      <c r="AS138">
        <v>0.68118782204524153</v>
      </c>
      <c r="AT138">
        <v>0.66790406428832916</v>
      </c>
      <c r="AU138">
        <v>0.65839619540301064</v>
      </c>
      <c r="AV138">
        <v>0.65394652831376376</v>
      </c>
      <c r="AW138">
        <v>0.65790354034995935</v>
      </c>
      <c r="AX138">
        <v>0.67257734209799147</v>
      </c>
      <c r="AY138">
        <v>0.69220674261689563</v>
      </c>
      <c r="AZ138">
        <v>0.71951321123349221</v>
      </c>
      <c r="BA138">
        <v>0.77339960401654173</v>
      </c>
      <c r="BB138">
        <v>0.80228498357835343</v>
      </c>
      <c r="BC138">
        <v>0.80471566848457421</v>
      </c>
      <c r="BD138">
        <v>0.80119381386457156</v>
      </c>
      <c r="BE138">
        <v>0.80227824860718655</v>
      </c>
      <c r="BF138">
        <v>0.80206780550513623</v>
      </c>
      <c r="BG138">
        <v>0.80226308329342122</v>
      </c>
      <c r="BH138">
        <v>0.80454102392237448</v>
      </c>
      <c r="BI138">
        <v>0.80534743154330335</v>
      </c>
      <c r="BJ138">
        <v>0.81246011255232609</v>
      </c>
      <c r="BK138">
        <v>0.82238688712694197</v>
      </c>
      <c r="BL138">
        <v>0.85477711589855909</v>
      </c>
      <c r="BM138">
        <v>0.9057003834412809</v>
      </c>
      <c r="BN138">
        <v>0.93954627722487993</v>
      </c>
      <c r="BO138">
        <v>0.96155375255697051</v>
      </c>
      <c r="BP138">
        <v>0.96932332948540756</v>
      </c>
      <c r="BQ138">
        <v>0.97082403801175166</v>
      </c>
      <c r="BR138">
        <v>0.96268805148056169</v>
      </c>
      <c r="BS138">
        <v>0.96046706618575861</v>
      </c>
      <c r="BT138">
        <v>0.98025278487886003</v>
      </c>
      <c r="BU138">
        <v>1.032925118913985</v>
      </c>
      <c r="BV138">
        <v>1.1109596113549789</v>
      </c>
      <c r="BW138">
        <v>1.2384580658680413</v>
      </c>
      <c r="BX138">
        <v>1.4346042419722884</v>
      </c>
    </row>
    <row r="139" spans="1:76">
      <c r="A139" t="s">
        <v>248</v>
      </c>
      <c r="B139">
        <v>2008</v>
      </c>
      <c r="C139">
        <v>8</v>
      </c>
      <c r="D139">
        <v>7</v>
      </c>
      <c r="E139">
        <v>10.383333333333333</v>
      </c>
      <c r="F139">
        <v>3</v>
      </c>
      <c r="G139">
        <v>0.16222600000000001</v>
      </c>
      <c r="H139">
        <v>3.4869281530029315</v>
      </c>
      <c r="I139">
        <v>1.1000000000000001</v>
      </c>
      <c r="J139">
        <v>0.40618539566675932</v>
      </c>
      <c r="K139">
        <v>4.1945150436147776</v>
      </c>
      <c r="L139">
        <v>1.7037507526208426</v>
      </c>
      <c r="M139">
        <v>0.78047453597537997</v>
      </c>
      <c r="N139">
        <v>0.74088643066144666</v>
      </c>
      <c r="O139">
        <v>0.70368255461175389</v>
      </c>
      <c r="P139">
        <v>0.6735190435185654</v>
      </c>
      <c r="Q139">
        <v>0.64333506412098895</v>
      </c>
      <c r="R139">
        <v>0.61479219585695399</v>
      </c>
      <c r="S139">
        <v>0.59267582256936802</v>
      </c>
      <c r="T139">
        <v>0.57124608220228101</v>
      </c>
      <c r="U139">
        <v>0.54947310819377992</v>
      </c>
      <c r="V139">
        <v>0.52193422393355537</v>
      </c>
      <c r="W139">
        <v>0.49385081672960979</v>
      </c>
      <c r="X139">
        <v>0.47022162804787326</v>
      </c>
      <c r="Y139">
        <v>0.45015825401059728</v>
      </c>
      <c r="Z139">
        <v>0.43168767195373853</v>
      </c>
      <c r="AA139">
        <v>0.4122759906613383</v>
      </c>
      <c r="AB139">
        <v>0.39260949547551965</v>
      </c>
      <c r="AC139">
        <v>0.37464395591922617</v>
      </c>
      <c r="AD139">
        <v>0.35915642112591628</v>
      </c>
      <c r="AE139">
        <v>0.34490152664215629</v>
      </c>
      <c r="AF139">
        <v>0.33228032912378802</v>
      </c>
      <c r="AG139">
        <v>0.32202740689378001</v>
      </c>
      <c r="AH139">
        <v>0.31335308800934458</v>
      </c>
      <c r="AI139">
        <v>0.30691208620062088</v>
      </c>
      <c r="AJ139">
        <v>0.30065588919040642</v>
      </c>
      <c r="AK139">
        <v>0.28957826078774668</v>
      </c>
      <c r="AL139">
        <v>0.27916493669618969</v>
      </c>
      <c r="AM139">
        <v>0.271099469393007</v>
      </c>
      <c r="AN139">
        <v>0.26369928921673791</v>
      </c>
      <c r="AO139">
        <v>0.25767546275562392</v>
      </c>
      <c r="AP139">
        <v>0.25345974015295081</v>
      </c>
      <c r="AQ139">
        <v>0.25015632040473096</v>
      </c>
      <c r="AR139">
        <v>0.24702281510825103</v>
      </c>
      <c r="AS139">
        <v>0.23973198862264031</v>
      </c>
      <c r="AT139">
        <v>0.23650179997142634</v>
      </c>
      <c r="AU139">
        <v>0.23664610803515795</v>
      </c>
      <c r="AV139">
        <v>0.24112646591503539</v>
      </c>
      <c r="AW139">
        <v>0.2529768214808284</v>
      </c>
      <c r="AX139">
        <v>0.27455179437196331</v>
      </c>
      <c r="AY139">
        <v>0.30076571497755078</v>
      </c>
      <c r="AZ139">
        <v>0.33431045206132026</v>
      </c>
      <c r="BA139">
        <v>0.39349441604695223</v>
      </c>
      <c r="BB139">
        <v>0.42884844014527673</v>
      </c>
      <c r="BC139">
        <v>0.43841069873894117</v>
      </c>
      <c r="BD139">
        <v>0.4421062937640205</v>
      </c>
      <c r="BE139">
        <v>0.45021314771487625</v>
      </c>
      <c r="BF139">
        <v>0.45712396913375919</v>
      </c>
      <c r="BG139">
        <v>0.46435144461814787</v>
      </c>
      <c r="BH139">
        <v>0.47349396231481999</v>
      </c>
      <c r="BI139">
        <v>0.48127652897600609</v>
      </c>
      <c r="BJ139">
        <v>0.49506112259365348</v>
      </c>
      <c r="BK139">
        <v>0.5113774713294863</v>
      </c>
      <c r="BL139">
        <v>0.54920793432018844</v>
      </c>
      <c r="BM139">
        <v>0.60437825429913827</v>
      </c>
      <c r="BN139">
        <v>0.64236266622759763</v>
      </c>
      <c r="BO139">
        <v>0.66886001100862402</v>
      </c>
      <c r="BP139">
        <v>0.68250633873529798</v>
      </c>
      <c r="BQ139">
        <v>0.69132989943919698</v>
      </c>
      <c r="BR139">
        <v>0.69193118857009772</v>
      </c>
      <c r="BS139">
        <v>0.69868987992929799</v>
      </c>
      <c r="BT139">
        <v>0.72638289893736474</v>
      </c>
      <c r="BU139">
        <v>0.78565626276101919</v>
      </c>
      <c r="BV139">
        <v>0.86910199192067317</v>
      </c>
      <c r="BW139">
        <v>1.0010986420635593</v>
      </c>
      <c r="BX139">
        <v>1.2002108006167445</v>
      </c>
    </row>
    <row r="140" spans="1:76">
      <c r="A140" t="s">
        <v>249</v>
      </c>
      <c r="B140">
        <v>2008</v>
      </c>
      <c r="C140">
        <v>8</v>
      </c>
      <c r="D140">
        <v>7</v>
      </c>
      <c r="E140">
        <v>10.566666666666666</v>
      </c>
      <c r="F140">
        <v>3</v>
      </c>
      <c r="G140">
        <v>0.23838899999999999</v>
      </c>
      <c r="H140">
        <v>4.0703538702426751</v>
      </c>
      <c r="I140">
        <v>1.2</v>
      </c>
      <c r="J140">
        <v>0.4437465695379883</v>
      </c>
      <c r="K140">
        <v>3.84305450104404</v>
      </c>
      <c r="L140">
        <v>1.7053422513858181</v>
      </c>
      <c r="M140">
        <v>0.99302769047075423</v>
      </c>
      <c r="N140">
        <v>0.93712510603966304</v>
      </c>
      <c r="O140">
        <v>0.88492567071712003</v>
      </c>
      <c r="P140">
        <v>0.84149984391744925</v>
      </c>
      <c r="Q140">
        <v>0.79897040291881516</v>
      </c>
      <c r="R140">
        <v>0.75910146491339869</v>
      </c>
      <c r="S140">
        <v>0.72710416174518755</v>
      </c>
      <c r="T140">
        <v>0.6965617141061875</v>
      </c>
      <c r="U140">
        <v>0.66621210352361593</v>
      </c>
      <c r="V140">
        <v>0.63011714857582923</v>
      </c>
      <c r="W140">
        <v>0.5939222271157103</v>
      </c>
      <c r="X140">
        <v>0.56327944358599136</v>
      </c>
      <c r="Y140">
        <v>0.53701766059107214</v>
      </c>
      <c r="Z140">
        <v>0.51288500793306124</v>
      </c>
      <c r="AA140">
        <v>0.48807993609645883</v>
      </c>
      <c r="AB140">
        <v>0.46329154196242911</v>
      </c>
      <c r="AC140">
        <v>0.4405935713150404</v>
      </c>
      <c r="AD140">
        <v>0.42091237170950679</v>
      </c>
      <c r="AE140">
        <v>0.40274713189884548</v>
      </c>
      <c r="AF140">
        <v>0.38644598827138743</v>
      </c>
      <c r="AG140">
        <v>0.37280154647544661</v>
      </c>
      <c r="AH140">
        <v>0.36076883069141508</v>
      </c>
      <c r="AI140">
        <v>0.35109010083705805</v>
      </c>
      <c r="AJ140">
        <v>0.34172452439893353</v>
      </c>
      <c r="AK140">
        <v>0.32803480008540375</v>
      </c>
      <c r="AL140">
        <v>0.3152540261304253</v>
      </c>
      <c r="AM140">
        <v>0.30501391692696389</v>
      </c>
      <c r="AN140">
        <v>0.29557696848790549</v>
      </c>
      <c r="AO140">
        <v>0.2876769317202772</v>
      </c>
      <c r="AP140">
        <v>0.28163418538961438</v>
      </c>
      <c r="AQ140">
        <v>0.27643028108501772</v>
      </c>
      <c r="AR140">
        <v>0.27180210725327048</v>
      </c>
      <c r="AS140">
        <v>0.26278856167667131</v>
      </c>
      <c r="AT140">
        <v>0.25829099495918645</v>
      </c>
      <c r="AU140">
        <v>0.257137316479225</v>
      </c>
      <c r="AV140">
        <v>0.26047947848221081</v>
      </c>
      <c r="AW140">
        <v>0.27135331168309901</v>
      </c>
      <c r="AX140">
        <v>0.29193150415780744</v>
      </c>
      <c r="AY140">
        <v>0.31709579305187119</v>
      </c>
      <c r="AZ140">
        <v>0.34952231755979107</v>
      </c>
      <c r="BA140">
        <v>0.40733322985188503</v>
      </c>
      <c r="BB140">
        <v>0.44180290413990653</v>
      </c>
      <c r="BC140">
        <v>0.4510283514523129</v>
      </c>
      <c r="BD140">
        <v>0.45448649537671432</v>
      </c>
      <c r="BE140">
        <v>0.46228010444530626</v>
      </c>
      <c r="BF140">
        <v>0.46874689460479879</v>
      </c>
      <c r="BG140">
        <v>0.47554261139508797</v>
      </c>
      <c r="BH140">
        <v>0.48428885317150122</v>
      </c>
      <c r="BI140">
        <v>0.49154830632610136</v>
      </c>
      <c r="BJ140">
        <v>0.50484606375070307</v>
      </c>
      <c r="BK140">
        <v>0.52084992828176735</v>
      </c>
      <c r="BL140">
        <v>0.55858986881983297</v>
      </c>
      <c r="BM140">
        <v>0.61446423659244609</v>
      </c>
      <c r="BN140">
        <v>0.65391463573092412</v>
      </c>
      <c r="BO140">
        <v>0.68184236798874054</v>
      </c>
      <c r="BP140">
        <v>0.69572697680748985</v>
      </c>
      <c r="BQ140">
        <v>0.70326860538440483</v>
      </c>
      <c r="BR140">
        <v>0.70121405762149769</v>
      </c>
      <c r="BS140">
        <v>0.70481134104915755</v>
      </c>
      <c r="BT140">
        <v>0.72986520296607271</v>
      </c>
      <c r="BU140">
        <v>0.78697942223741657</v>
      </c>
      <c r="BV140">
        <v>0.86886975014224266</v>
      </c>
      <c r="BW140">
        <v>0.99887100181160726</v>
      </c>
      <c r="BX140">
        <v>1.1956900153900365</v>
      </c>
    </row>
  </sheetData>
  <phoneticPr fontId="9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40"/>
  <sheetViews>
    <sheetView workbookViewId="0">
      <selection activeCell="A141" sqref="A141"/>
    </sheetView>
  </sheetViews>
  <sheetFormatPr defaultRowHeight="12.75"/>
  <sheetData>
    <row r="1" spans="1:9">
      <c r="A1" t="s">
        <v>179</v>
      </c>
      <c r="B1" t="s">
        <v>21</v>
      </c>
      <c r="C1" t="s">
        <v>33</v>
      </c>
      <c r="D1" t="s">
        <v>22</v>
      </c>
      <c r="E1" t="s">
        <v>180</v>
      </c>
      <c r="F1" t="s">
        <v>181</v>
      </c>
      <c r="G1" t="s">
        <v>24</v>
      </c>
      <c r="H1" t="s">
        <v>25</v>
      </c>
      <c r="I1" t="s">
        <v>178</v>
      </c>
    </row>
    <row r="2" spans="1:9">
      <c r="A2" t="s">
        <v>182</v>
      </c>
      <c r="B2">
        <v>2008</v>
      </c>
      <c r="C2">
        <v>12</v>
      </c>
      <c r="D2">
        <v>10</v>
      </c>
      <c r="E2">
        <v>13.133333333333333</v>
      </c>
      <c r="F2">
        <v>3</v>
      </c>
      <c r="G2">
        <v>0.387154</v>
      </c>
      <c r="H2">
        <v>4.6685821732487947</v>
      </c>
      <c r="I2">
        <v>3</v>
      </c>
    </row>
    <row r="3" spans="1:9">
      <c r="A3" t="s">
        <v>183</v>
      </c>
      <c r="B3">
        <v>2008</v>
      </c>
      <c r="C3">
        <v>12</v>
      </c>
      <c r="D3">
        <v>10</v>
      </c>
      <c r="E3">
        <v>12.516666666666667</v>
      </c>
      <c r="F3">
        <v>3</v>
      </c>
      <c r="G3">
        <v>0.59523800000000004</v>
      </c>
      <c r="H3">
        <v>5.5610413380098338</v>
      </c>
      <c r="I3">
        <v>2.6</v>
      </c>
    </row>
    <row r="4" spans="1:9">
      <c r="A4" t="s">
        <v>184</v>
      </c>
      <c r="B4">
        <v>2008</v>
      </c>
      <c r="C4">
        <v>12</v>
      </c>
      <c r="D4">
        <v>10</v>
      </c>
      <c r="E4">
        <v>11.056944444444444</v>
      </c>
      <c r="F4">
        <v>3</v>
      </c>
      <c r="G4">
        <v>0.42055399999999998</v>
      </c>
      <c r="H4">
        <v>3.6900763647815751</v>
      </c>
      <c r="I4">
        <v>2.7</v>
      </c>
    </row>
    <row r="5" spans="1:9">
      <c r="A5" t="s">
        <v>185</v>
      </c>
      <c r="B5">
        <v>2008</v>
      </c>
      <c r="C5">
        <v>12</v>
      </c>
      <c r="D5">
        <v>10</v>
      </c>
      <c r="E5">
        <v>11.295277777777777</v>
      </c>
      <c r="F5">
        <v>3</v>
      </c>
      <c r="G5">
        <v>0.60550400000000004</v>
      </c>
      <c r="H5">
        <v>7.2536609642764853</v>
      </c>
      <c r="I5">
        <v>3.6</v>
      </c>
    </row>
    <row r="6" spans="1:9">
      <c r="A6" t="s">
        <v>186</v>
      </c>
      <c r="B6">
        <v>2008</v>
      </c>
      <c r="C6">
        <v>12</v>
      </c>
      <c r="D6">
        <v>10</v>
      </c>
      <c r="E6">
        <v>11.408333333333333</v>
      </c>
      <c r="F6">
        <v>3</v>
      </c>
      <c r="G6">
        <v>0.57737700000000003</v>
      </c>
      <c r="H6">
        <v>7.3434753152580088</v>
      </c>
      <c r="I6">
        <v>3.9</v>
      </c>
    </row>
    <row r="7" spans="1:9">
      <c r="A7" t="s">
        <v>187</v>
      </c>
      <c r="B7">
        <v>2008</v>
      </c>
      <c r="C7">
        <v>12</v>
      </c>
      <c r="D7">
        <v>10</v>
      </c>
      <c r="E7">
        <v>11.577222222222222</v>
      </c>
      <c r="F7">
        <v>3</v>
      </c>
      <c r="G7">
        <v>0.38501299999999999</v>
      </c>
      <c r="H7">
        <v>2.7509373983725491</v>
      </c>
      <c r="I7">
        <v>2.1</v>
      </c>
    </row>
    <row r="8" spans="1:9">
      <c r="A8" t="s">
        <v>188</v>
      </c>
      <c r="B8">
        <v>2008</v>
      </c>
      <c r="C8">
        <v>12</v>
      </c>
      <c r="D8">
        <v>10</v>
      </c>
      <c r="E8">
        <v>11.866666666666667</v>
      </c>
      <c r="F8">
        <v>3</v>
      </c>
      <c r="G8">
        <v>0.43693799999999999</v>
      </c>
      <c r="H8">
        <v>4.592969133761442</v>
      </c>
      <c r="I8">
        <v>3.4</v>
      </c>
    </row>
    <row r="9" spans="1:9">
      <c r="A9" t="s">
        <v>189</v>
      </c>
      <c r="B9">
        <v>2008</v>
      </c>
      <c r="C9">
        <v>12</v>
      </c>
      <c r="D9">
        <v>10</v>
      </c>
      <c r="E9">
        <v>12.155277777777776</v>
      </c>
      <c r="F9">
        <v>3</v>
      </c>
      <c r="G9">
        <v>0.38801200000000002</v>
      </c>
      <c r="H9">
        <v>6.8425078656908846</v>
      </c>
      <c r="I9">
        <v>3.5</v>
      </c>
    </row>
    <row r="10" spans="1:9">
      <c r="A10" t="s">
        <v>190</v>
      </c>
      <c r="B10">
        <v>2008</v>
      </c>
      <c r="C10">
        <v>12</v>
      </c>
      <c r="D10">
        <v>10</v>
      </c>
      <c r="E10">
        <v>13.507777777777779</v>
      </c>
      <c r="F10">
        <v>3</v>
      </c>
      <c r="G10">
        <v>0.45501200000000003</v>
      </c>
      <c r="H10">
        <v>5.1917122168896359</v>
      </c>
      <c r="I10">
        <v>3.6</v>
      </c>
    </row>
    <row r="11" spans="1:9">
      <c r="A11" t="s">
        <v>191</v>
      </c>
      <c r="B11">
        <v>2008</v>
      </c>
      <c r="C11">
        <v>12</v>
      </c>
      <c r="D11">
        <v>10</v>
      </c>
      <c r="E11">
        <v>13.75</v>
      </c>
      <c r="F11">
        <v>3</v>
      </c>
      <c r="G11">
        <v>0.37905699999999998</v>
      </c>
      <c r="H11">
        <v>4.8291794670055488</v>
      </c>
      <c r="I11">
        <v>3.4</v>
      </c>
    </row>
    <row r="12" spans="1:9">
      <c r="A12" t="s">
        <v>192</v>
      </c>
      <c r="B12">
        <v>2008</v>
      </c>
      <c r="C12">
        <v>12</v>
      </c>
      <c r="D12">
        <v>10</v>
      </c>
      <c r="E12">
        <v>14.070277777777779</v>
      </c>
      <c r="F12">
        <v>3</v>
      </c>
      <c r="G12">
        <v>0.43295499999999998</v>
      </c>
      <c r="H12">
        <v>4.3271673569240612</v>
      </c>
      <c r="I12">
        <v>2.9</v>
      </c>
    </row>
    <row r="13" spans="1:9">
      <c r="A13" t="s">
        <v>193</v>
      </c>
      <c r="B13">
        <v>2008</v>
      </c>
      <c r="C13">
        <v>12</v>
      </c>
      <c r="D13">
        <v>10</v>
      </c>
      <c r="E13">
        <v>14.1875</v>
      </c>
      <c r="F13">
        <v>3</v>
      </c>
      <c r="G13">
        <v>0.39648099999999997</v>
      </c>
      <c r="H13">
        <v>5.1340656080375426</v>
      </c>
      <c r="I13">
        <v>3</v>
      </c>
    </row>
    <row r="14" spans="1:9">
      <c r="A14" t="s">
        <v>184</v>
      </c>
      <c r="B14">
        <v>2008</v>
      </c>
      <c r="C14">
        <v>10</v>
      </c>
      <c r="D14">
        <v>22</v>
      </c>
      <c r="E14">
        <v>9.6666666666666661</v>
      </c>
      <c r="F14">
        <v>3</v>
      </c>
      <c r="G14">
        <v>0.50854999999999995</v>
      </c>
      <c r="H14">
        <v>10.102165324906256</v>
      </c>
      <c r="I14">
        <v>4.0999999999999996</v>
      </c>
    </row>
    <row r="15" spans="1:9">
      <c r="A15" t="s">
        <v>185</v>
      </c>
      <c r="B15">
        <v>2008</v>
      </c>
      <c r="C15">
        <v>10</v>
      </c>
      <c r="D15">
        <v>22</v>
      </c>
      <c r="E15">
        <v>9.8999999999999986</v>
      </c>
      <c r="F15">
        <v>3</v>
      </c>
      <c r="G15">
        <v>0.47597499999999998</v>
      </c>
      <c r="H15">
        <v>6.1104308552253155</v>
      </c>
      <c r="I15">
        <v>3</v>
      </c>
    </row>
    <row r="16" spans="1:9">
      <c r="A16" t="s">
        <v>186</v>
      </c>
      <c r="B16">
        <v>2008</v>
      </c>
      <c r="C16">
        <v>10</v>
      </c>
      <c r="D16">
        <v>22</v>
      </c>
      <c r="E16">
        <v>10.050000000000001</v>
      </c>
      <c r="F16">
        <v>3</v>
      </c>
      <c r="G16">
        <v>0.65553600000000001</v>
      </c>
      <c r="H16">
        <v>12.825992278031924</v>
      </c>
      <c r="I16">
        <v>5</v>
      </c>
    </row>
    <row r="17" spans="1:9">
      <c r="A17" t="s">
        <v>187</v>
      </c>
      <c r="B17">
        <v>2008</v>
      </c>
      <c r="C17">
        <v>10</v>
      </c>
      <c r="D17">
        <v>22</v>
      </c>
      <c r="E17">
        <v>10.283333333333333</v>
      </c>
      <c r="F17">
        <v>3</v>
      </c>
      <c r="G17">
        <v>0.48057800000000001</v>
      </c>
      <c r="H17">
        <v>10.275276282416607</v>
      </c>
      <c r="I17">
        <v>3.5</v>
      </c>
    </row>
    <row r="18" spans="1:9">
      <c r="A18" t="s">
        <v>188</v>
      </c>
      <c r="B18">
        <v>2008</v>
      </c>
      <c r="C18">
        <v>10</v>
      </c>
      <c r="D18">
        <v>22</v>
      </c>
      <c r="E18">
        <v>10.55</v>
      </c>
      <c r="F18">
        <v>3</v>
      </c>
      <c r="G18">
        <v>0.50276100000000001</v>
      </c>
      <c r="H18">
        <v>8.745699734899631</v>
      </c>
      <c r="I18">
        <v>3.2</v>
      </c>
    </row>
    <row r="19" spans="1:9">
      <c r="A19" t="s">
        <v>189</v>
      </c>
      <c r="B19">
        <v>2008</v>
      </c>
      <c r="C19">
        <v>10</v>
      </c>
      <c r="D19">
        <v>22</v>
      </c>
      <c r="E19">
        <v>10.833333333333334</v>
      </c>
      <c r="F19">
        <v>3</v>
      </c>
      <c r="G19">
        <v>0.45409699999999997</v>
      </c>
      <c r="H19">
        <v>10.038043519635371</v>
      </c>
      <c r="I19">
        <v>3.6</v>
      </c>
    </row>
    <row r="20" spans="1:9">
      <c r="A20" t="s">
        <v>190</v>
      </c>
      <c r="B20">
        <v>2008</v>
      </c>
      <c r="C20">
        <v>10</v>
      </c>
      <c r="D20">
        <v>22</v>
      </c>
      <c r="E20">
        <v>11.05</v>
      </c>
      <c r="F20">
        <v>3</v>
      </c>
      <c r="G20">
        <v>0.58106000000000002</v>
      </c>
      <c r="H20">
        <v>8.776798593918862</v>
      </c>
      <c r="I20">
        <v>3.2</v>
      </c>
    </row>
    <row r="21" spans="1:9">
      <c r="A21" t="s">
        <v>191</v>
      </c>
      <c r="B21">
        <v>2008</v>
      </c>
      <c r="C21">
        <v>10</v>
      </c>
      <c r="D21">
        <v>22</v>
      </c>
      <c r="E21">
        <v>11.283333333333333</v>
      </c>
      <c r="F21">
        <v>3</v>
      </c>
      <c r="G21">
        <v>0.42145199999999999</v>
      </c>
      <c r="H21">
        <v>10.498329431274998</v>
      </c>
      <c r="I21">
        <v>4.3</v>
      </c>
    </row>
    <row r="22" spans="1:9">
      <c r="A22" t="s">
        <v>192</v>
      </c>
      <c r="B22">
        <v>2008</v>
      </c>
      <c r="C22">
        <v>10</v>
      </c>
      <c r="D22">
        <v>22</v>
      </c>
      <c r="E22">
        <v>11.583333333333334</v>
      </c>
      <c r="F22">
        <v>3</v>
      </c>
      <c r="G22">
        <v>0.49037700000000001</v>
      </c>
      <c r="H22">
        <v>13.148396143231485</v>
      </c>
      <c r="I22">
        <v>3.7</v>
      </c>
    </row>
    <row r="23" spans="1:9">
      <c r="A23" t="s">
        <v>193</v>
      </c>
      <c r="B23">
        <v>2008</v>
      </c>
      <c r="C23">
        <v>10</v>
      </c>
      <c r="D23">
        <v>22</v>
      </c>
      <c r="E23">
        <v>11.75</v>
      </c>
      <c r="F23">
        <v>3</v>
      </c>
      <c r="G23">
        <v>0.47365099999999999</v>
      </c>
      <c r="H23">
        <v>12.486655693961273</v>
      </c>
      <c r="I23">
        <v>4.5</v>
      </c>
    </row>
    <row r="24" spans="1:9">
      <c r="A24" t="s">
        <v>194</v>
      </c>
      <c r="B24">
        <v>2008</v>
      </c>
      <c r="C24">
        <v>10</v>
      </c>
      <c r="D24">
        <v>22</v>
      </c>
      <c r="E24">
        <v>13.350000000000001</v>
      </c>
      <c r="F24">
        <v>3</v>
      </c>
      <c r="G24">
        <v>0.70920799999999995</v>
      </c>
      <c r="H24">
        <v>7.996018666498121</v>
      </c>
      <c r="I24">
        <v>2.6</v>
      </c>
    </row>
    <row r="25" spans="1:9">
      <c r="A25" t="s">
        <v>195</v>
      </c>
      <c r="B25">
        <v>2008</v>
      </c>
      <c r="C25">
        <v>10</v>
      </c>
      <c r="D25">
        <v>22</v>
      </c>
      <c r="E25">
        <v>14.549999999999999</v>
      </c>
      <c r="F25">
        <v>3</v>
      </c>
      <c r="G25">
        <v>0.45203300000000002</v>
      </c>
      <c r="H25">
        <v>10.600986225990786</v>
      </c>
      <c r="I25">
        <v>3.7</v>
      </c>
    </row>
    <row r="26" spans="1:9">
      <c r="A26" t="s">
        <v>184</v>
      </c>
      <c r="B26">
        <v>2008</v>
      </c>
      <c r="C26">
        <v>8</v>
      </c>
      <c r="D26">
        <v>5</v>
      </c>
      <c r="E26">
        <v>8.9666666666666668</v>
      </c>
      <c r="F26">
        <v>3</v>
      </c>
      <c r="G26">
        <v>1.511776</v>
      </c>
      <c r="H26">
        <v>9.9843442634377464</v>
      </c>
      <c r="I26">
        <v>2.5</v>
      </c>
    </row>
    <row r="27" spans="1:9">
      <c r="A27" t="s">
        <v>185</v>
      </c>
      <c r="B27">
        <v>2008</v>
      </c>
      <c r="C27">
        <v>8</v>
      </c>
      <c r="D27">
        <v>5</v>
      </c>
      <c r="E27">
        <v>9.2666666666666675</v>
      </c>
      <c r="F27">
        <v>3</v>
      </c>
      <c r="G27">
        <v>0.69000499999999998</v>
      </c>
      <c r="H27">
        <v>14.619868583805394</v>
      </c>
      <c r="I27">
        <v>5.2</v>
      </c>
    </row>
    <row r="28" spans="1:9">
      <c r="A28" t="s">
        <v>186</v>
      </c>
      <c r="B28">
        <v>2008</v>
      </c>
      <c r="C28">
        <v>8</v>
      </c>
      <c r="D28">
        <v>5</v>
      </c>
      <c r="E28">
        <v>9.3833333333333329</v>
      </c>
      <c r="F28">
        <v>3</v>
      </c>
      <c r="G28">
        <v>0.80160399999999998</v>
      </c>
      <c r="H28">
        <v>14.624124350651707</v>
      </c>
      <c r="I28">
        <v>3</v>
      </c>
    </row>
    <row r="29" spans="1:9">
      <c r="A29" t="s">
        <v>187</v>
      </c>
      <c r="B29">
        <v>2008</v>
      </c>
      <c r="C29">
        <v>8</v>
      </c>
      <c r="D29">
        <v>5</v>
      </c>
      <c r="E29">
        <v>9.6166666666666671</v>
      </c>
      <c r="F29">
        <v>3</v>
      </c>
      <c r="G29">
        <v>1.571512</v>
      </c>
      <c r="H29">
        <v>11.224312251582157</v>
      </c>
      <c r="I29">
        <v>2.4</v>
      </c>
    </row>
    <row r="30" spans="1:9">
      <c r="A30" t="s">
        <v>188</v>
      </c>
      <c r="B30">
        <v>2008</v>
      </c>
      <c r="C30">
        <v>8</v>
      </c>
      <c r="D30">
        <v>5</v>
      </c>
      <c r="E30">
        <v>9.8999999999999986</v>
      </c>
      <c r="F30">
        <v>3</v>
      </c>
      <c r="G30">
        <v>0.67856799999999995</v>
      </c>
      <c r="H30">
        <v>18.838519271479889</v>
      </c>
      <c r="I30">
        <v>4.5999999999999996</v>
      </c>
    </row>
    <row r="31" spans="1:9">
      <c r="A31" t="s">
        <v>196</v>
      </c>
      <c r="B31">
        <v>2008</v>
      </c>
      <c r="C31">
        <v>8</v>
      </c>
      <c r="D31">
        <v>5</v>
      </c>
      <c r="E31">
        <v>10.383333333333333</v>
      </c>
      <c r="F31">
        <v>3</v>
      </c>
      <c r="G31">
        <v>3.064546</v>
      </c>
      <c r="H31">
        <v>12.287941736560988</v>
      </c>
      <c r="I31">
        <v>3.5</v>
      </c>
    </row>
    <row r="32" spans="1:9">
      <c r="A32" t="s">
        <v>197</v>
      </c>
      <c r="B32">
        <v>2008</v>
      </c>
      <c r="C32">
        <v>8</v>
      </c>
      <c r="D32">
        <v>5</v>
      </c>
      <c r="E32">
        <v>11.483333333333333</v>
      </c>
      <c r="F32">
        <v>3</v>
      </c>
      <c r="G32">
        <v>0.73972400000000005</v>
      </c>
      <c r="H32">
        <v>13.761653337091223</v>
      </c>
      <c r="I32">
        <v>3.3</v>
      </c>
    </row>
    <row r="33" spans="1:9">
      <c r="A33" t="s">
        <v>189</v>
      </c>
      <c r="B33">
        <v>2008</v>
      </c>
      <c r="C33">
        <v>8</v>
      </c>
      <c r="D33">
        <v>5</v>
      </c>
      <c r="E33">
        <v>12.133333333333333</v>
      </c>
      <c r="F33">
        <v>3</v>
      </c>
      <c r="G33">
        <v>0.72656299999999996</v>
      </c>
      <c r="H33">
        <v>14.964484114602634</v>
      </c>
      <c r="I33">
        <v>3.5</v>
      </c>
    </row>
    <row r="34" spans="1:9">
      <c r="A34" t="s">
        <v>190</v>
      </c>
      <c r="B34">
        <v>2008</v>
      </c>
      <c r="C34">
        <v>8</v>
      </c>
      <c r="D34">
        <v>5</v>
      </c>
      <c r="E34">
        <v>12.433333333333334</v>
      </c>
      <c r="F34">
        <v>3</v>
      </c>
      <c r="G34">
        <v>1.0393619999999999</v>
      </c>
      <c r="H34">
        <v>10.108494161088748</v>
      </c>
      <c r="I34">
        <v>3.5</v>
      </c>
    </row>
    <row r="35" spans="1:9">
      <c r="A35" t="s">
        <v>191</v>
      </c>
      <c r="B35">
        <v>2008</v>
      </c>
      <c r="C35">
        <v>8</v>
      </c>
      <c r="D35">
        <v>5</v>
      </c>
      <c r="E35">
        <v>12.65</v>
      </c>
      <c r="F35">
        <v>3</v>
      </c>
      <c r="G35">
        <v>0.80612600000000001</v>
      </c>
      <c r="H35">
        <v>10.575667578351593</v>
      </c>
      <c r="I35">
        <v>2.6</v>
      </c>
    </row>
    <row r="36" spans="1:9">
      <c r="A36" t="s">
        <v>192</v>
      </c>
      <c r="B36">
        <v>2008</v>
      </c>
      <c r="C36">
        <v>8</v>
      </c>
      <c r="D36">
        <v>5</v>
      </c>
      <c r="E36">
        <v>12.933333333333334</v>
      </c>
      <c r="F36">
        <v>3</v>
      </c>
      <c r="G36">
        <v>1.081758</v>
      </c>
      <c r="H36">
        <v>13.306079048780084</v>
      </c>
      <c r="I36">
        <v>3</v>
      </c>
    </row>
    <row r="37" spans="1:9">
      <c r="A37" t="s">
        <v>193</v>
      </c>
      <c r="B37">
        <v>2008</v>
      </c>
      <c r="C37">
        <v>8</v>
      </c>
      <c r="D37">
        <v>5</v>
      </c>
      <c r="E37">
        <v>13.016666666666669</v>
      </c>
      <c r="F37">
        <v>3</v>
      </c>
      <c r="G37">
        <v>0.86342200000000002</v>
      </c>
      <c r="H37">
        <v>9.5457889119696144</v>
      </c>
      <c r="I37">
        <v>2.6</v>
      </c>
    </row>
    <row r="38" spans="1:9">
      <c r="A38" t="s">
        <v>198</v>
      </c>
      <c r="B38">
        <v>2008</v>
      </c>
      <c r="C38">
        <v>12</v>
      </c>
      <c r="D38">
        <v>7</v>
      </c>
      <c r="E38">
        <v>9.9333333333333336</v>
      </c>
      <c r="F38">
        <v>3</v>
      </c>
      <c r="G38">
        <v>0.45406999999999997</v>
      </c>
      <c r="H38">
        <v>8.6636458771055977</v>
      </c>
      <c r="I38">
        <v>10</v>
      </c>
    </row>
    <row r="39" spans="1:9">
      <c r="A39" t="s">
        <v>199</v>
      </c>
      <c r="B39">
        <v>2008</v>
      </c>
      <c r="C39">
        <v>12</v>
      </c>
      <c r="D39">
        <v>7</v>
      </c>
      <c r="E39">
        <v>10.358333333333333</v>
      </c>
      <c r="F39">
        <v>3</v>
      </c>
      <c r="G39">
        <v>0.701712</v>
      </c>
      <c r="H39">
        <v>3.7304975174773802</v>
      </c>
      <c r="I39">
        <v>5.2</v>
      </c>
    </row>
    <row r="40" spans="1:9">
      <c r="A40" t="s">
        <v>200</v>
      </c>
      <c r="B40">
        <v>2008</v>
      </c>
      <c r="C40">
        <v>12</v>
      </c>
      <c r="D40">
        <v>7</v>
      </c>
      <c r="E40">
        <v>10.570833333333333</v>
      </c>
      <c r="F40">
        <v>3</v>
      </c>
      <c r="G40">
        <v>0.46246599999999999</v>
      </c>
      <c r="H40">
        <v>8.0848269083511468</v>
      </c>
      <c r="I40">
        <v>9.1</v>
      </c>
    </row>
    <row r="41" spans="1:9">
      <c r="A41" t="s">
        <v>201</v>
      </c>
      <c r="B41">
        <v>2008</v>
      </c>
      <c r="C41">
        <v>12</v>
      </c>
      <c r="D41">
        <v>7</v>
      </c>
      <c r="E41">
        <v>10.733333333333333</v>
      </c>
      <c r="F41">
        <v>3</v>
      </c>
      <c r="G41">
        <v>0.48318699999999998</v>
      </c>
      <c r="H41">
        <v>8.331495500777546</v>
      </c>
      <c r="I41">
        <v>6.4</v>
      </c>
    </row>
    <row r="42" spans="1:9">
      <c r="A42" t="s">
        <v>202</v>
      </c>
      <c r="B42">
        <v>2008</v>
      </c>
      <c r="C42">
        <v>12</v>
      </c>
      <c r="D42">
        <v>7</v>
      </c>
      <c r="E42">
        <v>10.966666666666667</v>
      </c>
      <c r="F42">
        <v>3</v>
      </c>
      <c r="G42">
        <v>0.63676200000000005</v>
      </c>
      <c r="H42">
        <v>4.5615817954309978</v>
      </c>
      <c r="I42">
        <v>4.8</v>
      </c>
    </row>
    <row r="43" spans="1:9">
      <c r="A43" t="s">
        <v>203</v>
      </c>
      <c r="B43">
        <v>2008</v>
      </c>
      <c r="C43">
        <v>12</v>
      </c>
      <c r="D43">
        <v>7</v>
      </c>
      <c r="E43">
        <v>11.216666666666667</v>
      </c>
      <c r="F43">
        <v>3</v>
      </c>
      <c r="G43">
        <v>0.47768899999999997</v>
      </c>
      <c r="H43">
        <v>10.059880777392115</v>
      </c>
      <c r="I43">
        <v>6.3</v>
      </c>
    </row>
    <row r="44" spans="1:9">
      <c r="A44" t="s">
        <v>204</v>
      </c>
      <c r="B44">
        <v>2008</v>
      </c>
      <c r="C44">
        <v>12</v>
      </c>
      <c r="D44">
        <v>7</v>
      </c>
      <c r="E44">
        <v>11.65</v>
      </c>
      <c r="F44">
        <v>3</v>
      </c>
      <c r="G44">
        <v>0.83227099999999998</v>
      </c>
      <c r="H44">
        <v>6.270546613743103</v>
      </c>
      <c r="I44">
        <v>11</v>
      </c>
    </row>
    <row r="45" spans="1:9">
      <c r="A45" t="s">
        <v>205</v>
      </c>
      <c r="B45">
        <v>2008</v>
      </c>
      <c r="C45">
        <v>12</v>
      </c>
      <c r="D45">
        <v>7</v>
      </c>
      <c r="E45">
        <v>13.150000000000002</v>
      </c>
      <c r="F45">
        <v>3</v>
      </c>
      <c r="G45">
        <v>0.62984799999999996</v>
      </c>
      <c r="H45">
        <v>4.4200930531765961</v>
      </c>
      <c r="I45">
        <v>4.5999999999999996</v>
      </c>
    </row>
    <row r="46" spans="1:9">
      <c r="A46" t="s">
        <v>198</v>
      </c>
      <c r="B46">
        <v>2008</v>
      </c>
      <c r="C46">
        <v>10</v>
      </c>
      <c r="D46">
        <v>30</v>
      </c>
      <c r="E46">
        <v>9.9499999999999993</v>
      </c>
      <c r="F46">
        <v>3</v>
      </c>
      <c r="G46">
        <v>0.52800899999999995</v>
      </c>
      <c r="H46">
        <v>7.1114938456955166</v>
      </c>
      <c r="I46">
        <v>7.5</v>
      </c>
    </row>
    <row r="47" spans="1:9">
      <c r="A47" t="s">
        <v>199</v>
      </c>
      <c r="B47">
        <v>2008</v>
      </c>
      <c r="C47">
        <v>10</v>
      </c>
      <c r="D47">
        <v>30</v>
      </c>
      <c r="E47">
        <v>10.266666666666667</v>
      </c>
      <c r="F47">
        <v>3</v>
      </c>
      <c r="G47">
        <v>0.48710999999999999</v>
      </c>
      <c r="H47">
        <v>8.6773546282542231</v>
      </c>
      <c r="I47">
        <v>4.5999999999999996</v>
      </c>
    </row>
    <row r="48" spans="1:9">
      <c r="A48" t="s">
        <v>200</v>
      </c>
      <c r="B48">
        <v>2008</v>
      </c>
      <c r="C48">
        <v>10</v>
      </c>
      <c r="D48">
        <v>30</v>
      </c>
      <c r="E48">
        <v>10.416666666666666</v>
      </c>
      <c r="F48">
        <v>3</v>
      </c>
      <c r="G48">
        <v>0.48426900000000001</v>
      </c>
      <c r="H48">
        <v>12.322533592588327</v>
      </c>
      <c r="I48">
        <v>5.3</v>
      </c>
    </row>
    <row r="49" spans="1:9">
      <c r="A49" t="s">
        <v>201</v>
      </c>
      <c r="B49">
        <v>2008</v>
      </c>
      <c r="C49">
        <v>10</v>
      </c>
      <c r="D49">
        <v>30</v>
      </c>
      <c r="E49">
        <v>10.566666666666666</v>
      </c>
      <c r="F49">
        <v>3</v>
      </c>
      <c r="G49">
        <v>0.59907299999999997</v>
      </c>
      <c r="H49">
        <v>5.7611103729438842</v>
      </c>
      <c r="I49">
        <v>4.2</v>
      </c>
    </row>
    <row r="50" spans="1:9">
      <c r="A50" t="s">
        <v>202</v>
      </c>
      <c r="B50">
        <v>2008</v>
      </c>
      <c r="C50">
        <v>10</v>
      </c>
      <c r="D50">
        <v>30</v>
      </c>
      <c r="E50">
        <v>10.716666666666667</v>
      </c>
      <c r="F50">
        <v>3</v>
      </c>
      <c r="G50">
        <v>0.62351800000000002</v>
      </c>
      <c r="H50">
        <v>4.8025271259005029</v>
      </c>
      <c r="I50">
        <v>3.4</v>
      </c>
    </row>
    <row r="51" spans="1:9">
      <c r="A51" t="s">
        <v>203</v>
      </c>
      <c r="B51">
        <v>2008</v>
      </c>
      <c r="C51">
        <v>10</v>
      </c>
      <c r="D51">
        <v>30</v>
      </c>
      <c r="E51">
        <v>10.95</v>
      </c>
      <c r="F51">
        <v>3</v>
      </c>
      <c r="G51">
        <v>0.46566000000000002</v>
      </c>
      <c r="H51">
        <v>10.809788844582819</v>
      </c>
      <c r="I51">
        <v>5</v>
      </c>
    </row>
    <row r="52" spans="1:9">
      <c r="A52" t="s">
        <v>206</v>
      </c>
      <c r="B52">
        <v>2008</v>
      </c>
      <c r="C52">
        <v>10</v>
      </c>
      <c r="D52">
        <v>30</v>
      </c>
      <c r="E52">
        <v>11.2</v>
      </c>
      <c r="F52">
        <v>3</v>
      </c>
      <c r="G52">
        <v>0.58724299999999996</v>
      </c>
      <c r="H52">
        <v>6.1539406764412563</v>
      </c>
      <c r="I52">
        <v>4.5999999999999996</v>
      </c>
    </row>
    <row r="53" spans="1:9">
      <c r="A53" t="s">
        <v>207</v>
      </c>
      <c r="B53">
        <v>2008</v>
      </c>
      <c r="C53">
        <v>10</v>
      </c>
      <c r="D53">
        <v>30</v>
      </c>
      <c r="E53">
        <v>11.366666666666667</v>
      </c>
      <c r="F53">
        <v>3</v>
      </c>
      <c r="G53">
        <v>0.57494999999999996</v>
      </c>
      <c r="H53">
        <v>6.8615366427219593</v>
      </c>
      <c r="I53">
        <v>4</v>
      </c>
    </row>
    <row r="54" spans="1:9">
      <c r="A54" t="s">
        <v>208</v>
      </c>
      <c r="B54">
        <v>2008</v>
      </c>
      <c r="C54">
        <v>10</v>
      </c>
      <c r="D54">
        <v>30</v>
      </c>
      <c r="E54">
        <v>11.566666666666666</v>
      </c>
      <c r="F54">
        <v>3</v>
      </c>
      <c r="G54">
        <v>0.62958400000000003</v>
      </c>
      <c r="H54">
        <v>8.4429868244818156</v>
      </c>
      <c r="I54">
        <v>4.3</v>
      </c>
    </row>
    <row r="55" spans="1:9">
      <c r="A55" t="s">
        <v>209</v>
      </c>
      <c r="B55">
        <v>2008</v>
      </c>
      <c r="C55">
        <v>10</v>
      </c>
      <c r="D55">
        <v>30</v>
      </c>
      <c r="E55">
        <v>11.733333333333333</v>
      </c>
      <c r="F55">
        <v>3</v>
      </c>
      <c r="G55">
        <v>0.53682600000000003</v>
      </c>
      <c r="H55">
        <v>10.750235562618446</v>
      </c>
      <c r="I55">
        <v>5.9</v>
      </c>
    </row>
    <row r="56" spans="1:9">
      <c r="A56" t="s">
        <v>210</v>
      </c>
      <c r="B56">
        <v>2008</v>
      </c>
      <c r="C56">
        <v>10</v>
      </c>
      <c r="D56">
        <v>30</v>
      </c>
      <c r="E56">
        <v>12.349999999999998</v>
      </c>
      <c r="F56">
        <v>3</v>
      </c>
      <c r="G56">
        <v>0.51502899999999996</v>
      </c>
      <c r="H56">
        <v>6.164929856220617</v>
      </c>
      <c r="I56">
        <v>3.9</v>
      </c>
    </row>
    <row r="57" spans="1:9">
      <c r="A57" t="s">
        <v>211</v>
      </c>
      <c r="B57">
        <v>2008</v>
      </c>
      <c r="C57">
        <v>10</v>
      </c>
      <c r="D57">
        <v>30</v>
      </c>
      <c r="E57">
        <v>13.200000000000001</v>
      </c>
      <c r="F57">
        <v>3</v>
      </c>
      <c r="G57">
        <v>0.64972300000000005</v>
      </c>
      <c r="H57">
        <v>6.940277540653196</v>
      </c>
      <c r="I57">
        <v>7.2</v>
      </c>
    </row>
    <row r="58" spans="1:9">
      <c r="A58" t="s">
        <v>198</v>
      </c>
      <c r="B58">
        <v>2008</v>
      </c>
      <c r="C58">
        <v>8</v>
      </c>
      <c r="D58">
        <v>6</v>
      </c>
      <c r="E58">
        <v>9.0833333333333339</v>
      </c>
      <c r="F58">
        <v>3</v>
      </c>
      <c r="G58">
        <v>1.324071</v>
      </c>
      <c r="H58">
        <v>32.308365132212352</v>
      </c>
      <c r="I58">
        <v>5.0999999999999996</v>
      </c>
    </row>
    <row r="59" spans="1:9">
      <c r="A59" t="s">
        <v>199</v>
      </c>
      <c r="B59">
        <v>2008</v>
      </c>
      <c r="C59">
        <v>8</v>
      </c>
      <c r="D59">
        <v>6</v>
      </c>
      <c r="E59">
        <v>9.25</v>
      </c>
      <c r="F59">
        <v>3</v>
      </c>
      <c r="G59">
        <v>2.2482549999999999</v>
      </c>
      <c r="H59">
        <v>25.865014430041455</v>
      </c>
      <c r="I59">
        <v>3.4</v>
      </c>
    </row>
    <row r="60" spans="1:9">
      <c r="A60" t="s">
        <v>200</v>
      </c>
      <c r="B60">
        <v>2008</v>
      </c>
      <c r="C60">
        <v>8</v>
      </c>
      <c r="D60">
        <v>6</v>
      </c>
      <c r="E60">
        <v>9.4666666666666668</v>
      </c>
      <c r="F60">
        <v>3</v>
      </c>
      <c r="G60">
        <v>2.3916390000000001</v>
      </c>
      <c r="H60">
        <v>12.37774795235357</v>
      </c>
      <c r="I60">
        <v>3</v>
      </c>
    </row>
    <row r="61" spans="1:9">
      <c r="A61" t="s">
        <v>201</v>
      </c>
      <c r="B61">
        <v>2008</v>
      </c>
      <c r="C61">
        <v>8</v>
      </c>
      <c r="D61">
        <v>6</v>
      </c>
      <c r="E61">
        <v>9.6833333333333336</v>
      </c>
      <c r="F61">
        <v>3</v>
      </c>
      <c r="G61">
        <v>1.2111479999999999</v>
      </c>
      <c r="H61">
        <v>11.707077803518217</v>
      </c>
      <c r="I61">
        <v>3.5</v>
      </c>
    </row>
    <row r="62" spans="1:9">
      <c r="A62" t="s">
        <v>202</v>
      </c>
      <c r="B62">
        <v>2008</v>
      </c>
      <c r="C62">
        <v>8</v>
      </c>
      <c r="D62">
        <v>6</v>
      </c>
      <c r="E62">
        <v>9.8000000000000007</v>
      </c>
      <c r="F62">
        <v>3</v>
      </c>
      <c r="G62">
        <v>2.4017750000000002</v>
      </c>
      <c r="H62">
        <v>16.34408138433173</v>
      </c>
      <c r="I62">
        <v>3.2</v>
      </c>
    </row>
    <row r="63" spans="1:9">
      <c r="A63" t="s">
        <v>203</v>
      </c>
      <c r="B63">
        <v>2008</v>
      </c>
      <c r="C63">
        <v>8</v>
      </c>
      <c r="D63">
        <v>6</v>
      </c>
      <c r="E63">
        <v>10.016666666666667</v>
      </c>
      <c r="F63">
        <v>3</v>
      </c>
      <c r="G63">
        <v>1.358412</v>
      </c>
      <c r="H63">
        <v>16.266152325543587</v>
      </c>
      <c r="I63">
        <v>3.2</v>
      </c>
    </row>
    <row r="64" spans="1:9">
      <c r="A64" t="s">
        <v>206</v>
      </c>
      <c r="B64">
        <v>2008</v>
      </c>
      <c r="C64">
        <v>8</v>
      </c>
      <c r="D64">
        <v>6</v>
      </c>
      <c r="E64">
        <v>10.25</v>
      </c>
      <c r="F64">
        <v>3</v>
      </c>
      <c r="G64">
        <v>1.0615859999999999</v>
      </c>
      <c r="H64">
        <v>12.381156756869208</v>
      </c>
      <c r="I64">
        <v>2.6</v>
      </c>
    </row>
    <row r="65" spans="1:9">
      <c r="A65" t="s">
        <v>212</v>
      </c>
      <c r="B65">
        <v>2008</v>
      </c>
      <c r="C65">
        <v>8</v>
      </c>
      <c r="D65">
        <v>6</v>
      </c>
      <c r="E65">
        <v>11.416666666666666</v>
      </c>
      <c r="F65">
        <v>3</v>
      </c>
      <c r="G65">
        <v>1.5646800000000001</v>
      </c>
      <c r="H65">
        <v>27.905056466672402</v>
      </c>
      <c r="I65">
        <v>3.7</v>
      </c>
    </row>
    <row r="66" spans="1:9">
      <c r="A66" t="s">
        <v>213</v>
      </c>
      <c r="B66">
        <v>2008</v>
      </c>
      <c r="C66">
        <v>8</v>
      </c>
      <c r="D66">
        <v>6</v>
      </c>
      <c r="E66">
        <v>11.683333333333334</v>
      </c>
      <c r="F66">
        <v>3</v>
      </c>
      <c r="G66">
        <v>1.2261169999999999</v>
      </c>
      <c r="H66">
        <v>12.228454939770357</v>
      </c>
      <c r="I66">
        <v>2.9</v>
      </c>
    </row>
    <row r="67" spans="1:9">
      <c r="A67" t="s">
        <v>207</v>
      </c>
      <c r="B67">
        <v>2008</v>
      </c>
      <c r="C67">
        <v>8</v>
      </c>
      <c r="D67">
        <v>6</v>
      </c>
      <c r="E67">
        <v>12.5</v>
      </c>
      <c r="F67">
        <v>3</v>
      </c>
      <c r="G67">
        <v>1.530168</v>
      </c>
      <c r="H67">
        <v>16.896826013628363</v>
      </c>
      <c r="I67">
        <v>3</v>
      </c>
    </row>
    <row r="68" spans="1:9">
      <c r="A68" t="s">
        <v>208</v>
      </c>
      <c r="B68">
        <v>2008</v>
      </c>
      <c r="C68">
        <v>8</v>
      </c>
      <c r="D68">
        <v>6</v>
      </c>
      <c r="E68">
        <v>12.899999999999999</v>
      </c>
      <c r="F68">
        <v>3</v>
      </c>
      <c r="G68">
        <v>0.960318</v>
      </c>
      <c r="H68">
        <v>33.320284348518349</v>
      </c>
      <c r="I68">
        <v>3.6</v>
      </c>
    </row>
    <row r="69" spans="1:9">
      <c r="A69" t="s">
        <v>209</v>
      </c>
      <c r="B69">
        <v>2008</v>
      </c>
      <c r="C69">
        <v>8</v>
      </c>
      <c r="D69">
        <v>6</v>
      </c>
      <c r="E69">
        <v>13.150000000000002</v>
      </c>
      <c r="F69">
        <v>3</v>
      </c>
      <c r="G69">
        <v>0.85550899999999996</v>
      </c>
      <c r="H69">
        <v>16.299835790366078</v>
      </c>
      <c r="I69">
        <v>3.6</v>
      </c>
    </row>
    <row r="70" spans="1:9">
      <c r="A70" t="s">
        <v>214</v>
      </c>
      <c r="B70">
        <v>2008</v>
      </c>
      <c r="C70">
        <v>12</v>
      </c>
      <c r="D70">
        <v>9</v>
      </c>
      <c r="E70">
        <v>10.916666666666666</v>
      </c>
      <c r="F70">
        <v>3</v>
      </c>
      <c r="G70">
        <v>0.42599999999999999</v>
      </c>
      <c r="H70">
        <v>5.6649337552055723</v>
      </c>
      <c r="I70">
        <v>2.5</v>
      </c>
    </row>
    <row r="71" spans="1:9">
      <c r="A71" t="s">
        <v>215</v>
      </c>
      <c r="B71">
        <v>2008</v>
      </c>
      <c r="C71">
        <v>12</v>
      </c>
      <c r="D71">
        <v>9</v>
      </c>
      <c r="E71">
        <v>11.066666666666666</v>
      </c>
      <c r="F71">
        <v>3</v>
      </c>
      <c r="G71">
        <v>0.37053399999999997</v>
      </c>
      <c r="H71">
        <v>2.4219041661908887</v>
      </c>
      <c r="I71">
        <v>1</v>
      </c>
    </row>
    <row r="72" spans="1:9">
      <c r="A72" t="s">
        <v>216</v>
      </c>
      <c r="B72">
        <v>2008</v>
      </c>
      <c r="C72">
        <v>12</v>
      </c>
      <c r="D72">
        <v>9</v>
      </c>
      <c r="E72">
        <v>11.233333333333333</v>
      </c>
      <c r="F72">
        <v>3</v>
      </c>
      <c r="G72">
        <v>0.467746</v>
      </c>
      <c r="H72">
        <v>2.2917603398550974</v>
      </c>
      <c r="I72">
        <v>1.7</v>
      </c>
    </row>
    <row r="73" spans="1:9">
      <c r="A73" t="s">
        <v>217</v>
      </c>
      <c r="B73">
        <v>2008</v>
      </c>
      <c r="C73">
        <v>12</v>
      </c>
      <c r="D73">
        <v>9</v>
      </c>
      <c r="E73">
        <v>11.45</v>
      </c>
      <c r="F73">
        <v>3</v>
      </c>
      <c r="G73">
        <v>0.44044100000000003</v>
      </c>
      <c r="H73">
        <v>2.672665080184101</v>
      </c>
      <c r="I73">
        <v>0.9</v>
      </c>
    </row>
    <row r="74" spans="1:9">
      <c r="A74" t="s">
        <v>218</v>
      </c>
      <c r="B74">
        <v>2008</v>
      </c>
      <c r="C74">
        <v>12</v>
      </c>
      <c r="D74">
        <v>9</v>
      </c>
      <c r="E74">
        <v>11.533333333333333</v>
      </c>
      <c r="F74">
        <v>3</v>
      </c>
      <c r="G74">
        <v>0.53837199999999996</v>
      </c>
      <c r="H74">
        <v>3.4895471472446808</v>
      </c>
      <c r="I74">
        <v>1.4</v>
      </c>
    </row>
    <row r="75" spans="1:9">
      <c r="A75" t="s">
        <v>219</v>
      </c>
      <c r="B75">
        <v>2008</v>
      </c>
      <c r="C75">
        <v>12</v>
      </c>
      <c r="D75">
        <v>9</v>
      </c>
      <c r="E75">
        <v>11.75</v>
      </c>
      <c r="F75">
        <v>3</v>
      </c>
      <c r="G75">
        <v>0.39476600000000001</v>
      </c>
      <c r="H75">
        <v>2.5073985442073985</v>
      </c>
      <c r="I75">
        <v>1.4</v>
      </c>
    </row>
    <row r="76" spans="1:9">
      <c r="A76" t="s">
        <v>220</v>
      </c>
      <c r="B76">
        <v>2008</v>
      </c>
      <c r="C76">
        <v>12</v>
      </c>
      <c r="D76">
        <v>9</v>
      </c>
      <c r="E76">
        <v>12.149999999999999</v>
      </c>
      <c r="F76">
        <v>3</v>
      </c>
      <c r="G76">
        <v>0.41214299999999998</v>
      </c>
      <c r="H76">
        <v>3.1025404884197179</v>
      </c>
      <c r="I76">
        <v>1</v>
      </c>
    </row>
    <row r="77" spans="1:9">
      <c r="A77" t="s">
        <v>221</v>
      </c>
      <c r="B77">
        <v>2008</v>
      </c>
      <c r="C77">
        <v>12</v>
      </c>
      <c r="D77">
        <v>9</v>
      </c>
      <c r="E77">
        <v>12.333333333333336</v>
      </c>
      <c r="F77">
        <v>3</v>
      </c>
      <c r="G77">
        <v>0.45927499999999999</v>
      </c>
      <c r="H77">
        <v>2.2341021850331719</v>
      </c>
      <c r="I77">
        <v>1.1000000000000001</v>
      </c>
    </row>
    <row r="78" spans="1:9">
      <c r="A78" t="s">
        <v>222</v>
      </c>
      <c r="B78">
        <v>2008</v>
      </c>
      <c r="C78">
        <v>12</v>
      </c>
      <c r="D78">
        <v>9</v>
      </c>
      <c r="E78">
        <v>12.5</v>
      </c>
      <c r="F78">
        <v>3</v>
      </c>
      <c r="G78">
        <v>0.39595599999999997</v>
      </c>
      <c r="H78">
        <v>2.5471333249178501</v>
      </c>
      <c r="I78">
        <v>1.1000000000000001</v>
      </c>
    </row>
    <row r="79" spans="1:9">
      <c r="A79" t="s">
        <v>223</v>
      </c>
      <c r="B79">
        <v>2008</v>
      </c>
      <c r="C79">
        <v>12</v>
      </c>
      <c r="D79">
        <v>9</v>
      </c>
      <c r="E79">
        <v>12.7</v>
      </c>
      <c r="F79">
        <v>3</v>
      </c>
      <c r="G79">
        <v>0.36522100000000002</v>
      </c>
      <c r="H79">
        <v>2.0989195954371889</v>
      </c>
      <c r="I79">
        <v>1.4</v>
      </c>
    </row>
    <row r="80" spans="1:9">
      <c r="A80" t="s">
        <v>224</v>
      </c>
      <c r="B80">
        <v>2008</v>
      </c>
      <c r="C80">
        <v>12</v>
      </c>
      <c r="D80">
        <v>9</v>
      </c>
      <c r="E80">
        <v>13.066666666666666</v>
      </c>
      <c r="F80">
        <v>3</v>
      </c>
      <c r="G80">
        <v>0.41955500000000001</v>
      </c>
      <c r="H80">
        <v>2.2106290429126672</v>
      </c>
      <c r="I80">
        <v>1.2</v>
      </c>
    </row>
    <row r="81" spans="1:9">
      <c r="A81" t="s">
        <v>225</v>
      </c>
      <c r="B81">
        <v>2008</v>
      </c>
      <c r="C81">
        <v>12</v>
      </c>
      <c r="D81">
        <v>9</v>
      </c>
      <c r="E81">
        <v>13.633333333333333</v>
      </c>
      <c r="F81">
        <v>3</v>
      </c>
      <c r="G81">
        <v>0.46083800000000003</v>
      </c>
      <c r="H81">
        <v>3.4475346155693636</v>
      </c>
      <c r="I81">
        <v>1.9</v>
      </c>
    </row>
    <row r="82" spans="1:9">
      <c r="A82" t="s">
        <v>216</v>
      </c>
      <c r="B82">
        <v>2008</v>
      </c>
      <c r="C82">
        <v>10</v>
      </c>
      <c r="D82">
        <v>21</v>
      </c>
      <c r="E82">
        <v>10.3</v>
      </c>
      <c r="F82">
        <v>3</v>
      </c>
      <c r="G82">
        <v>0.61128099999999996</v>
      </c>
      <c r="H82">
        <v>6.6221184992606092</v>
      </c>
      <c r="I82">
        <v>2.1</v>
      </c>
    </row>
    <row r="83" spans="1:9">
      <c r="A83" t="s">
        <v>217</v>
      </c>
      <c r="B83">
        <v>2008</v>
      </c>
      <c r="C83">
        <v>10</v>
      </c>
      <c r="D83">
        <v>21</v>
      </c>
      <c r="E83">
        <v>10.6</v>
      </c>
      <c r="F83">
        <v>3</v>
      </c>
      <c r="G83">
        <v>0.55578899999999998</v>
      </c>
      <c r="H83">
        <v>5.7722982245788259</v>
      </c>
      <c r="I83">
        <v>2.2999999999999998</v>
      </c>
    </row>
    <row r="84" spans="1:9">
      <c r="A84" t="s">
        <v>218</v>
      </c>
      <c r="B84">
        <v>2008</v>
      </c>
      <c r="C84">
        <v>10</v>
      </c>
      <c r="D84">
        <v>21</v>
      </c>
      <c r="E84">
        <v>10.7</v>
      </c>
      <c r="F84">
        <v>3</v>
      </c>
      <c r="G84">
        <v>0.67096500000000003</v>
      </c>
      <c r="H84">
        <v>7.1727119247082163</v>
      </c>
      <c r="I84">
        <v>1.8</v>
      </c>
    </row>
    <row r="85" spans="1:9">
      <c r="A85" t="s">
        <v>219</v>
      </c>
      <c r="B85">
        <v>2008</v>
      </c>
      <c r="C85">
        <v>10</v>
      </c>
      <c r="D85">
        <v>21</v>
      </c>
      <c r="E85">
        <v>10.933333333333334</v>
      </c>
      <c r="F85">
        <v>3</v>
      </c>
      <c r="G85">
        <v>0.48457</v>
      </c>
      <c r="H85">
        <v>6.150140686211353</v>
      </c>
      <c r="I85">
        <v>3.4</v>
      </c>
    </row>
    <row r="86" spans="1:9">
      <c r="A86" t="s">
        <v>224</v>
      </c>
      <c r="B86">
        <v>2008</v>
      </c>
      <c r="C86">
        <v>10</v>
      </c>
      <c r="D86">
        <v>21</v>
      </c>
      <c r="E86">
        <v>12.216666666666665</v>
      </c>
      <c r="F86">
        <v>3</v>
      </c>
      <c r="G86">
        <v>0.60216000000000003</v>
      </c>
      <c r="H86">
        <v>6.6875661427579702</v>
      </c>
      <c r="I86">
        <v>1.6</v>
      </c>
    </row>
    <row r="87" spans="1:9">
      <c r="A87" t="s">
        <v>220</v>
      </c>
      <c r="B87">
        <v>2008</v>
      </c>
      <c r="C87">
        <v>10</v>
      </c>
      <c r="D87">
        <v>21</v>
      </c>
      <c r="E87">
        <v>13.350000000000001</v>
      </c>
      <c r="F87">
        <v>3</v>
      </c>
      <c r="G87">
        <v>0.60347499999999998</v>
      </c>
      <c r="H87">
        <v>5.6462496153389088</v>
      </c>
      <c r="I87">
        <v>1.7</v>
      </c>
    </row>
    <row r="88" spans="1:9">
      <c r="A88" t="s">
        <v>221</v>
      </c>
      <c r="B88">
        <v>2008</v>
      </c>
      <c r="C88">
        <v>10</v>
      </c>
      <c r="D88">
        <v>21</v>
      </c>
      <c r="E88">
        <v>13.616666666666667</v>
      </c>
      <c r="F88">
        <v>3</v>
      </c>
      <c r="G88">
        <v>0.61766100000000002</v>
      </c>
      <c r="H88">
        <v>4.18063142764837</v>
      </c>
      <c r="I88">
        <v>1.6</v>
      </c>
    </row>
    <row r="89" spans="1:9">
      <c r="A89" t="s">
        <v>222</v>
      </c>
      <c r="B89">
        <v>2008</v>
      </c>
      <c r="C89">
        <v>10</v>
      </c>
      <c r="D89">
        <v>21</v>
      </c>
      <c r="E89">
        <v>13.833333333333336</v>
      </c>
      <c r="F89">
        <v>3</v>
      </c>
      <c r="G89">
        <v>0.65471199999999996</v>
      </c>
      <c r="H89">
        <v>4.798109677252608</v>
      </c>
      <c r="I89">
        <v>1.7</v>
      </c>
    </row>
    <row r="90" spans="1:9">
      <c r="A90" t="s">
        <v>223</v>
      </c>
      <c r="B90">
        <v>2008</v>
      </c>
      <c r="C90">
        <v>10</v>
      </c>
      <c r="D90">
        <v>21</v>
      </c>
      <c r="E90">
        <v>14.2</v>
      </c>
      <c r="F90">
        <v>3</v>
      </c>
      <c r="G90">
        <v>0.52405900000000005</v>
      </c>
      <c r="H90">
        <v>5.1957509758171874</v>
      </c>
      <c r="I90">
        <v>2.2999999999999998</v>
      </c>
    </row>
    <row r="91" spans="1:9">
      <c r="A91" t="s">
        <v>215</v>
      </c>
      <c r="B91">
        <v>2008</v>
      </c>
      <c r="C91">
        <v>10</v>
      </c>
      <c r="D91">
        <v>21</v>
      </c>
      <c r="E91">
        <v>14.683333333333334</v>
      </c>
      <c r="F91">
        <v>3</v>
      </c>
      <c r="G91">
        <v>0.50034199999999995</v>
      </c>
      <c r="H91">
        <v>3.5466121750207567</v>
      </c>
      <c r="I91">
        <v>1.4</v>
      </c>
    </row>
    <row r="92" spans="1:9">
      <c r="A92" t="s">
        <v>214</v>
      </c>
      <c r="B92">
        <v>2008</v>
      </c>
      <c r="C92">
        <v>10</v>
      </c>
      <c r="D92">
        <v>21</v>
      </c>
      <c r="E92">
        <v>14.8</v>
      </c>
      <c r="F92">
        <v>3</v>
      </c>
      <c r="G92">
        <v>0.60740700000000003</v>
      </c>
      <c r="H92">
        <v>5.5760286768689014</v>
      </c>
      <c r="I92">
        <v>2.2999999999999998</v>
      </c>
    </row>
    <row r="93" spans="1:9">
      <c r="A93" t="s">
        <v>214</v>
      </c>
      <c r="B93">
        <v>2008</v>
      </c>
      <c r="C93">
        <v>8</v>
      </c>
      <c r="D93">
        <v>4</v>
      </c>
      <c r="E93">
        <v>9.6333333333333329</v>
      </c>
      <c r="F93">
        <v>3</v>
      </c>
      <c r="G93">
        <v>0.464806</v>
      </c>
      <c r="H93">
        <v>8.9772222027042616</v>
      </c>
      <c r="I93">
        <v>2.5</v>
      </c>
    </row>
    <row r="94" spans="1:9">
      <c r="A94" t="s">
        <v>215</v>
      </c>
      <c r="B94">
        <v>2008</v>
      </c>
      <c r="C94">
        <v>8</v>
      </c>
      <c r="D94">
        <v>4</v>
      </c>
      <c r="E94">
        <v>9.9333333333333336</v>
      </c>
      <c r="F94">
        <v>3</v>
      </c>
      <c r="G94">
        <v>0.49395699999999998</v>
      </c>
      <c r="H94">
        <v>9.1100153141324451</v>
      </c>
      <c r="I94">
        <v>3.7</v>
      </c>
    </row>
    <row r="95" spans="1:9">
      <c r="A95" t="s">
        <v>216</v>
      </c>
      <c r="B95">
        <v>2008</v>
      </c>
      <c r="C95">
        <v>8</v>
      </c>
      <c r="D95">
        <v>4</v>
      </c>
      <c r="E95">
        <v>10.1</v>
      </c>
      <c r="F95">
        <v>3</v>
      </c>
      <c r="G95">
        <v>0.47317199999999998</v>
      </c>
      <c r="H95">
        <v>7.858588723704651</v>
      </c>
      <c r="I95">
        <v>2.9</v>
      </c>
    </row>
    <row r="96" spans="1:9">
      <c r="A96" t="s">
        <v>217</v>
      </c>
      <c r="B96">
        <v>2008</v>
      </c>
      <c r="C96">
        <v>8</v>
      </c>
      <c r="D96">
        <v>4</v>
      </c>
      <c r="E96">
        <v>10.3</v>
      </c>
      <c r="F96">
        <v>3</v>
      </c>
      <c r="G96">
        <v>0.39546999999999999</v>
      </c>
      <c r="H96">
        <v>7.9583473638973778</v>
      </c>
      <c r="I96">
        <v>2.6</v>
      </c>
    </row>
    <row r="97" spans="1:9">
      <c r="A97" t="s">
        <v>218</v>
      </c>
      <c r="B97">
        <v>2008</v>
      </c>
      <c r="C97">
        <v>8</v>
      </c>
      <c r="D97">
        <v>4</v>
      </c>
      <c r="E97">
        <v>10.516666666666667</v>
      </c>
      <c r="F97">
        <v>3</v>
      </c>
      <c r="G97">
        <v>0.44738800000000001</v>
      </c>
      <c r="H97">
        <v>8.3238757949915971</v>
      </c>
      <c r="I97">
        <v>2.8</v>
      </c>
    </row>
    <row r="98" spans="1:9">
      <c r="A98" t="s">
        <v>224</v>
      </c>
      <c r="B98">
        <v>2008</v>
      </c>
      <c r="C98">
        <v>8</v>
      </c>
      <c r="D98">
        <v>4</v>
      </c>
      <c r="E98">
        <v>11.483333333333333</v>
      </c>
      <c r="F98">
        <v>3</v>
      </c>
      <c r="G98">
        <v>0.47135899999999997</v>
      </c>
      <c r="H98">
        <v>11.430225893607584</v>
      </c>
      <c r="I98">
        <v>3.9</v>
      </c>
    </row>
    <row r="99" spans="1:9">
      <c r="A99" t="s">
        <v>225</v>
      </c>
      <c r="B99">
        <v>2008</v>
      </c>
      <c r="C99">
        <v>8</v>
      </c>
      <c r="D99">
        <v>4</v>
      </c>
      <c r="E99">
        <v>12</v>
      </c>
      <c r="F99">
        <v>3</v>
      </c>
      <c r="G99">
        <v>0.610429</v>
      </c>
      <c r="H99">
        <v>8.9242703285661005</v>
      </c>
      <c r="I99">
        <v>2.2000000000000002</v>
      </c>
    </row>
    <row r="100" spans="1:9">
      <c r="A100" t="s">
        <v>219</v>
      </c>
      <c r="B100">
        <v>2008</v>
      </c>
      <c r="C100">
        <v>8</v>
      </c>
      <c r="D100">
        <v>4</v>
      </c>
      <c r="E100">
        <v>12.816666666666666</v>
      </c>
      <c r="F100">
        <v>3</v>
      </c>
      <c r="G100">
        <v>0.53747</v>
      </c>
      <c r="H100">
        <v>6.2722910369902447</v>
      </c>
      <c r="I100">
        <v>2.1</v>
      </c>
    </row>
    <row r="101" spans="1:9">
      <c r="A101" t="s">
        <v>220</v>
      </c>
      <c r="B101">
        <v>2008</v>
      </c>
      <c r="C101">
        <v>8</v>
      </c>
      <c r="D101">
        <v>4</v>
      </c>
      <c r="E101">
        <v>13.133333333333333</v>
      </c>
      <c r="F101">
        <v>3</v>
      </c>
      <c r="G101">
        <v>0.45477200000000001</v>
      </c>
      <c r="H101">
        <v>7.8504576022194454</v>
      </c>
      <c r="I101">
        <v>1.8</v>
      </c>
    </row>
    <row r="102" spans="1:9">
      <c r="A102" t="s">
        <v>221</v>
      </c>
      <c r="B102">
        <v>2008</v>
      </c>
      <c r="C102">
        <v>8</v>
      </c>
      <c r="D102">
        <v>4</v>
      </c>
      <c r="E102">
        <v>13.350000000000001</v>
      </c>
      <c r="F102">
        <v>3</v>
      </c>
      <c r="G102">
        <v>0.70195700000000005</v>
      </c>
      <c r="H102">
        <v>17.1171949343214</v>
      </c>
      <c r="I102">
        <v>2.2000000000000002</v>
      </c>
    </row>
    <row r="103" spans="1:9">
      <c r="A103" t="s">
        <v>222</v>
      </c>
      <c r="B103">
        <v>2008</v>
      </c>
      <c r="C103">
        <v>8</v>
      </c>
      <c r="D103">
        <v>4</v>
      </c>
      <c r="E103">
        <v>13.466666666666667</v>
      </c>
      <c r="F103">
        <v>3</v>
      </c>
      <c r="G103">
        <v>0.65543099999999999</v>
      </c>
      <c r="H103">
        <v>15.303824877121224</v>
      </c>
      <c r="I103">
        <v>3.4</v>
      </c>
    </row>
    <row r="104" spans="1:9">
      <c r="A104" t="s">
        <v>223</v>
      </c>
      <c r="B104">
        <v>2008</v>
      </c>
      <c r="C104">
        <v>8</v>
      </c>
      <c r="D104">
        <v>4</v>
      </c>
      <c r="E104">
        <v>13.616666666666667</v>
      </c>
      <c r="F104">
        <v>3</v>
      </c>
      <c r="G104">
        <v>0.48938900000000002</v>
      </c>
      <c r="H104">
        <v>9.4824097336079465</v>
      </c>
      <c r="I104">
        <v>2.5</v>
      </c>
    </row>
    <row r="105" spans="1:9">
      <c r="A105" t="s">
        <v>226</v>
      </c>
      <c r="B105">
        <v>2008</v>
      </c>
      <c r="C105">
        <v>12</v>
      </c>
      <c r="D105">
        <v>5</v>
      </c>
      <c r="E105">
        <v>9.7666666666666675</v>
      </c>
      <c r="F105">
        <v>3</v>
      </c>
      <c r="G105">
        <v>0.20669899999999999</v>
      </c>
      <c r="H105">
        <v>1.5526003433233631</v>
      </c>
      <c r="I105">
        <v>2.6</v>
      </c>
    </row>
    <row r="106" spans="1:9">
      <c r="A106" t="s">
        <v>227</v>
      </c>
      <c r="B106">
        <v>2008</v>
      </c>
      <c r="C106">
        <v>12</v>
      </c>
      <c r="D106">
        <v>5</v>
      </c>
      <c r="E106">
        <v>9.85</v>
      </c>
      <c r="F106">
        <v>3</v>
      </c>
      <c r="G106">
        <v>0.21662400000000001</v>
      </c>
      <c r="H106">
        <v>1.0530263355108556</v>
      </c>
      <c r="I106">
        <v>1.4</v>
      </c>
    </row>
    <row r="107" spans="1:9">
      <c r="A107" t="s">
        <v>228</v>
      </c>
      <c r="B107">
        <v>2008</v>
      </c>
      <c r="C107">
        <v>12</v>
      </c>
      <c r="D107">
        <v>5</v>
      </c>
      <c r="E107">
        <v>10.016666666666667</v>
      </c>
      <c r="F107">
        <v>3</v>
      </c>
      <c r="G107">
        <v>0.21471499999999999</v>
      </c>
      <c r="H107">
        <v>1.749784507471067</v>
      </c>
      <c r="I107">
        <v>2.4</v>
      </c>
    </row>
    <row r="108" spans="1:9">
      <c r="A108" t="s">
        <v>229</v>
      </c>
      <c r="B108">
        <v>2008</v>
      </c>
      <c r="C108">
        <v>12</v>
      </c>
      <c r="D108">
        <v>5</v>
      </c>
      <c r="E108">
        <v>10.15</v>
      </c>
      <c r="F108">
        <v>3</v>
      </c>
      <c r="G108">
        <v>0.21640699999999999</v>
      </c>
      <c r="H108">
        <v>1.4973373112455362</v>
      </c>
      <c r="I108">
        <v>2.6</v>
      </c>
    </row>
    <row r="109" spans="1:9">
      <c r="A109" t="s">
        <v>230</v>
      </c>
      <c r="B109">
        <v>2008</v>
      </c>
      <c r="C109">
        <v>12</v>
      </c>
      <c r="D109">
        <v>5</v>
      </c>
      <c r="E109">
        <v>10.199999999999999</v>
      </c>
      <c r="F109">
        <v>3</v>
      </c>
      <c r="G109">
        <v>0.209698</v>
      </c>
      <c r="H109">
        <v>1.5745545336984104</v>
      </c>
      <c r="I109">
        <v>2.6</v>
      </c>
    </row>
    <row r="110" spans="1:9">
      <c r="A110" t="s">
        <v>231</v>
      </c>
      <c r="B110">
        <v>2008</v>
      </c>
      <c r="C110">
        <v>12</v>
      </c>
      <c r="D110">
        <v>5</v>
      </c>
      <c r="E110">
        <v>10.3</v>
      </c>
      <c r="F110">
        <v>3</v>
      </c>
      <c r="G110">
        <v>0.21176400000000001</v>
      </c>
      <c r="H110">
        <v>1.5262893044713532</v>
      </c>
      <c r="I110">
        <v>2.4</v>
      </c>
    </row>
    <row r="111" spans="1:9">
      <c r="A111" t="s">
        <v>232</v>
      </c>
      <c r="B111">
        <v>2008</v>
      </c>
      <c r="C111">
        <v>12</v>
      </c>
      <c r="D111">
        <v>5</v>
      </c>
      <c r="E111">
        <v>10.55</v>
      </c>
      <c r="F111">
        <v>3</v>
      </c>
      <c r="G111">
        <v>0.21598800000000001</v>
      </c>
      <c r="H111">
        <v>1.5088131234764541</v>
      </c>
      <c r="I111">
        <v>2</v>
      </c>
    </row>
    <row r="112" spans="1:9">
      <c r="A112" t="s">
        <v>233</v>
      </c>
      <c r="B112">
        <v>2008</v>
      </c>
      <c r="C112">
        <v>12</v>
      </c>
      <c r="D112">
        <v>5</v>
      </c>
      <c r="E112">
        <v>10.649999999999999</v>
      </c>
      <c r="F112">
        <v>3</v>
      </c>
      <c r="G112">
        <v>0.20508199999999999</v>
      </c>
      <c r="H112">
        <v>1.353029238679019</v>
      </c>
      <c r="I112">
        <v>1.7</v>
      </c>
    </row>
    <row r="113" spans="1:9">
      <c r="A113" t="s">
        <v>234</v>
      </c>
      <c r="B113">
        <v>2008</v>
      </c>
      <c r="C113">
        <v>12</v>
      </c>
      <c r="D113">
        <v>5</v>
      </c>
      <c r="E113">
        <v>10.733333333333333</v>
      </c>
      <c r="F113">
        <v>3</v>
      </c>
      <c r="G113">
        <v>0.206645</v>
      </c>
      <c r="H113">
        <v>1.3239176615761383</v>
      </c>
      <c r="I113">
        <v>1.1000000000000001</v>
      </c>
    </row>
    <row r="114" spans="1:9">
      <c r="A114" t="s">
        <v>235</v>
      </c>
      <c r="B114">
        <v>2008</v>
      </c>
      <c r="C114">
        <v>12</v>
      </c>
      <c r="D114">
        <v>5</v>
      </c>
      <c r="E114">
        <v>10.833333333333334</v>
      </c>
      <c r="F114">
        <v>3</v>
      </c>
      <c r="G114">
        <v>0.215529</v>
      </c>
      <c r="H114">
        <v>1.191076966948684</v>
      </c>
      <c r="I114">
        <v>1.8</v>
      </c>
    </row>
    <row r="115" spans="1:9">
      <c r="A115" t="s">
        <v>236</v>
      </c>
      <c r="B115">
        <v>2008</v>
      </c>
      <c r="C115">
        <v>12</v>
      </c>
      <c r="D115">
        <v>5</v>
      </c>
      <c r="E115">
        <v>10.966666666666667</v>
      </c>
      <c r="F115">
        <v>3</v>
      </c>
      <c r="G115">
        <v>0.20593800000000001</v>
      </c>
      <c r="H115">
        <v>1.2101762966807128</v>
      </c>
      <c r="I115">
        <v>1.7</v>
      </c>
    </row>
    <row r="116" spans="1:9">
      <c r="A116" t="s">
        <v>237</v>
      </c>
      <c r="B116">
        <v>2008</v>
      </c>
      <c r="C116">
        <v>12</v>
      </c>
      <c r="D116">
        <v>5</v>
      </c>
      <c r="E116">
        <v>11.35</v>
      </c>
      <c r="F116">
        <v>3</v>
      </c>
      <c r="G116">
        <v>0.21923000000000001</v>
      </c>
      <c r="H116">
        <v>1.0582921272458694</v>
      </c>
      <c r="I116">
        <v>1</v>
      </c>
    </row>
    <row r="117" spans="1:9">
      <c r="A117" t="s">
        <v>226</v>
      </c>
      <c r="B117">
        <v>2008</v>
      </c>
      <c r="C117">
        <v>10</v>
      </c>
      <c r="D117">
        <v>29</v>
      </c>
      <c r="E117">
        <v>10.233333333333333</v>
      </c>
      <c r="F117">
        <v>3</v>
      </c>
      <c r="G117">
        <v>0.29344599999999998</v>
      </c>
      <c r="H117">
        <v>4.923891623655595</v>
      </c>
      <c r="I117">
        <v>4.4000000000000004</v>
      </c>
    </row>
    <row r="118" spans="1:9">
      <c r="A118" t="s">
        <v>227</v>
      </c>
      <c r="B118">
        <v>2008</v>
      </c>
      <c r="C118">
        <v>10</v>
      </c>
      <c r="D118">
        <v>29</v>
      </c>
      <c r="E118">
        <v>10.283333333333333</v>
      </c>
      <c r="F118">
        <v>3</v>
      </c>
      <c r="G118">
        <v>0.28195799999999999</v>
      </c>
      <c r="H118">
        <v>4.7895118517572479</v>
      </c>
      <c r="I118">
        <v>4.5999999999999996</v>
      </c>
    </row>
    <row r="119" spans="1:9">
      <c r="A119" t="s">
        <v>228</v>
      </c>
      <c r="B119">
        <v>2008</v>
      </c>
      <c r="C119">
        <v>10</v>
      </c>
      <c r="D119">
        <v>29</v>
      </c>
      <c r="E119">
        <v>10.483333333333333</v>
      </c>
      <c r="F119">
        <v>3</v>
      </c>
      <c r="G119">
        <v>0.31495699999999999</v>
      </c>
      <c r="H119">
        <v>4.5131130373419204</v>
      </c>
      <c r="I119">
        <v>4.2</v>
      </c>
    </row>
    <row r="120" spans="1:9">
      <c r="A120" t="s">
        <v>229</v>
      </c>
      <c r="B120">
        <v>2008</v>
      </c>
      <c r="C120">
        <v>10</v>
      </c>
      <c r="D120">
        <v>29</v>
      </c>
      <c r="E120">
        <v>10.649999999999999</v>
      </c>
      <c r="F120">
        <v>3</v>
      </c>
      <c r="G120">
        <v>0.285385</v>
      </c>
      <c r="H120">
        <v>4.823080416671619</v>
      </c>
      <c r="I120">
        <v>4.2</v>
      </c>
    </row>
    <row r="121" spans="1:9">
      <c r="A121" t="s">
        <v>230</v>
      </c>
      <c r="B121">
        <v>2008</v>
      </c>
      <c r="C121">
        <v>10</v>
      </c>
      <c r="D121">
        <v>29</v>
      </c>
      <c r="E121">
        <v>10.733333333333333</v>
      </c>
      <c r="F121">
        <v>3</v>
      </c>
      <c r="G121">
        <v>0.29424899999999998</v>
      </c>
      <c r="H121">
        <v>5.0435825464676283</v>
      </c>
      <c r="I121">
        <v>3.9</v>
      </c>
    </row>
    <row r="122" spans="1:9">
      <c r="A122" t="s">
        <v>231</v>
      </c>
      <c r="B122">
        <v>2008</v>
      </c>
      <c r="C122">
        <v>10</v>
      </c>
      <c r="D122">
        <v>29</v>
      </c>
      <c r="E122">
        <v>10.866666666666667</v>
      </c>
      <c r="F122">
        <v>3</v>
      </c>
      <c r="G122">
        <v>0.26777699999999999</v>
      </c>
      <c r="H122">
        <v>4.5425279485106929</v>
      </c>
      <c r="I122">
        <v>3.6</v>
      </c>
    </row>
    <row r="123" spans="1:9">
      <c r="A123" t="s">
        <v>232</v>
      </c>
      <c r="B123">
        <v>2008</v>
      </c>
      <c r="C123">
        <v>10</v>
      </c>
      <c r="D123">
        <v>29</v>
      </c>
      <c r="E123">
        <v>11.033333333333333</v>
      </c>
      <c r="F123">
        <v>3</v>
      </c>
      <c r="G123">
        <v>0.18686</v>
      </c>
      <c r="H123">
        <v>1.7725619803048003</v>
      </c>
      <c r="I123">
        <v>2.8</v>
      </c>
    </row>
    <row r="124" spans="1:9">
      <c r="A124" t="s">
        <v>233</v>
      </c>
      <c r="B124">
        <v>2008</v>
      </c>
      <c r="C124">
        <v>10</v>
      </c>
      <c r="D124">
        <v>29</v>
      </c>
      <c r="E124">
        <v>11.166666666666666</v>
      </c>
      <c r="F124">
        <v>3</v>
      </c>
      <c r="G124">
        <v>0.24631800000000001</v>
      </c>
      <c r="H124">
        <v>3.8576679617296921</v>
      </c>
      <c r="I124">
        <v>2.9</v>
      </c>
    </row>
    <row r="125" spans="1:9">
      <c r="A125" t="s">
        <v>234</v>
      </c>
      <c r="B125">
        <v>2008</v>
      </c>
      <c r="C125">
        <v>10</v>
      </c>
      <c r="D125">
        <v>29</v>
      </c>
      <c r="E125">
        <v>11.283333333333333</v>
      </c>
      <c r="F125">
        <v>3</v>
      </c>
      <c r="G125">
        <v>0.167046</v>
      </c>
      <c r="H125">
        <v>2.1257018527048004</v>
      </c>
      <c r="I125">
        <v>3.5</v>
      </c>
    </row>
    <row r="126" spans="1:9">
      <c r="A126" t="s">
        <v>235</v>
      </c>
      <c r="B126">
        <v>2008</v>
      </c>
      <c r="C126">
        <v>10</v>
      </c>
      <c r="D126">
        <v>29</v>
      </c>
      <c r="E126">
        <v>11.383333333333333</v>
      </c>
      <c r="F126">
        <v>3</v>
      </c>
      <c r="G126">
        <v>0.21837000000000001</v>
      </c>
      <c r="H126">
        <v>2.175543619748034</v>
      </c>
      <c r="I126">
        <v>1.5</v>
      </c>
    </row>
    <row r="127" spans="1:9">
      <c r="A127" t="s">
        <v>236</v>
      </c>
      <c r="B127">
        <v>2008</v>
      </c>
      <c r="C127">
        <v>10</v>
      </c>
      <c r="D127">
        <v>29</v>
      </c>
      <c r="E127">
        <v>11.466666666666667</v>
      </c>
      <c r="F127">
        <v>3</v>
      </c>
      <c r="G127">
        <v>0.203461</v>
      </c>
      <c r="H127">
        <v>2.6323312179173182</v>
      </c>
      <c r="I127">
        <v>2.8</v>
      </c>
    </row>
    <row r="128" spans="1:9">
      <c r="A128" t="s">
        <v>237</v>
      </c>
      <c r="B128">
        <v>2008</v>
      </c>
      <c r="C128">
        <v>10</v>
      </c>
      <c r="D128">
        <v>29</v>
      </c>
      <c r="E128">
        <v>11.95</v>
      </c>
      <c r="F128">
        <v>3</v>
      </c>
      <c r="G128">
        <v>0.27792699999999998</v>
      </c>
      <c r="H128">
        <v>4.5859503123069087</v>
      </c>
      <c r="I128">
        <v>3.6</v>
      </c>
    </row>
    <row r="129" spans="1:9">
      <c r="A129" t="s">
        <v>238</v>
      </c>
      <c r="B129">
        <v>2008</v>
      </c>
      <c r="C129">
        <v>8</v>
      </c>
      <c r="D129">
        <v>7</v>
      </c>
      <c r="E129">
        <v>8.9333333333333336</v>
      </c>
      <c r="F129">
        <v>3</v>
      </c>
      <c r="G129">
        <v>0.17282900000000001</v>
      </c>
      <c r="H129">
        <v>2.9329420651141058</v>
      </c>
      <c r="I129">
        <v>0.8</v>
      </c>
    </row>
    <row r="130" spans="1:9">
      <c r="A130" t="s">
        <v>239</v>
      </c>
      <c r="B130">
        <v>2008</v>
      </c>
      <c r="C130">
        <v>8</v>
      </c>
      <c r="D130">
        <v>7</v>
      </c>
      <c r="E130">
        <v>9.1333333333333329</v>
      </c>
      <c r="F130">
        <v>3</v>
      </c>
      <c r="G130">
        <v>0.20116300000000001</v>
      </c>
      <c r="H130">
        <v>3.8811262124866004</v>
      </c>
      <c r="I130">
        <v>0.95</v>
      </c>
    </row>
    <row r="131" spans="1:9">
      <c r="A131" t="s">
        <v>240</v>
      </c>
      <c r="B131">
        <v>2008</v>
      </c>
      <c r="C131">
        <v>8</v>
      </c>
      <c r="D131">
        <v>7</v>
      </c>
      <c r="E131">
        <v>9.2333333333333325</v>
      </c>
      <c r="F131">
        <v>3</v>
      </c>
      <c r="G131">
        <v>0.15227499999999999</v>
      </c>
      <c r="H131">
        <v>2.9195693922322561</v>
      </c>
      <c r="I131">
        <v>0.95</v>
      </c>
    </row>
    <row r="132" spans="1:9">
      <c r="A132" t="s">
        <v>241</v>
      </c>
      <c r="B132">
        <v>2008</v>
      </c>
      <c r="C132">
        <v>8</v>
      </c>
      <c r="D132">
        <v>7</v>
      </c>
      <c r="E132">
        <v>9.3333333333333339</v>
      </c>
      <c r="F132">
        <v>3</v>
      </c>
      <c r="G132">
        <v>0.27258199999999999</v>
      </c>
      <c r="H132">
        <v>3.7442895522078929</v>
      </c>
      <c r="I132">
        <v>0.9</v>
      </c>
    </row>
    <row r="133" spans="1:9">
      <c r="A133" t="s">
        <v>242</v>
      </c>
      <c r="B133">
        <v>2008</v>
      </c>
      <c r="C133">
        <v>8</v>
      </c>
      <c r="D133">
        <v>7</v>
      </c>
      <c r="E133">
        <v>9.4333333333333336</v>
      </c>
      <c r="F133">
        <v>3</v>
      </c>
      <c r="G133">
        <v>0.15513199999999999</v>
      </c>
      <c r="H133">
        <v>3.2974218484803326</v>
      </c>
      <c r="I133">
        <v>1.3</v>
      </c>
    </row>
    <row r="134" spans="1:9">
      <c r="A134" t="s">
        <v>243</v>
      </c>
      <c r="B134">
        <v>2008</v>
      </c>
      <c r="C134">
        <v>8</v>
      </c>
      <c r="D134">
        <v>7</v>
      </c>
      <c r="E134">
        <v>9.5333333333333332</v>
      </c>
      <c r="F134">
        <v>3</v>
      </c>
      <c r="G134">
        <v>0.22312100000000001</v>
      </c>
      <c r="H134">
        <v>4.0780547245320937</v>
      </c>
      <c r="I134">
        <v>1</v>
      </c>
    </row>
    <row r="135" spans="1:9">
      <c r="A135" t="s">
        <v>244</v>
      </c>
      <c r="B135">
        <v>2008</v>
      </c>
      <c r="C135">
        <v>8</v>
      </c>
      <c r="D135">
        <v>7</v>
      </c>
      <c r="E135">
        <v>9.6833333333333336</v>
      </c>
      <c r="F135">
        <v>3</v>
      </c>
      <c r="G135">
        <v>0.170131</v>
      </c>
      <c r="H135">
        <v>3.4993548183649064</v>
      </c>
      <c r="I135">
        <v>0.75</v>
      </c>
    </row>
    <row r="136" spans="1:9">
      <c r="A136" t="s">
        <v>245</v>
      </c>
      <c r="B136">
        <v>2008</v>
      </c>
      <c r="C136">
        <v>8</v>
      </c>
      <c r="D136">
        <v>7</v>
      </c>
      <c r="E136">
        <v>9.8166666666666664</v>
      </c>
      <c r="F136">
        <v>3</v>
      </c>
      <c r="G136">
        <v>0.23053199999999999</v>
      </c>
      <c r="H136">
        <v>4.3379851658157795</v>
      </c>
      <c r="I136">
        <v>1.4</v>
      </c>
    </row>
    <row r="137" spans="1:9">
      <c r="A137" t="s">
        <v>246</v>
      </c>
      <c r="B137">
        <v>2008</v>
      </c>
      <c r="C137">
        <v>8</v>
      </c>
      <c r="D137">
        <v>7</v>
      </c>
      <c r="E137">
        <v>9.9499999999999993</v>
      </c>
      <c r="F137">
        <v>3</v>
      </c>
      <c r="G137">
        <v>0.16400300000000001</v>
      </c>
      <c r="H137">
        <v>3.6323412368771235</v>
      </c>
      <c r="I137">
        <v>1.1000000000000001</v>
      </c>
    </row>
    <row r="138" spans="1:9">
      <c r="A138" t="s">
        <v>247</v>
      </c>
      <c r="B138">
        <v>2008</v>
      </c>
      <c r="C138">
        <v>8</v>
      </c>
      <c r="D138">
        <v>7</v>
      </c>
      <c r="E138">
        <v>10.050000000000001</v>
      </c>
      <c r="F138">
        <v>3</v>
      </c>
      <c r="G138">
        <v>0.18642900000000001</v>
      </c>
      <c r="H138">
        <v>3.9868827804353111</v>
      </c>
      <c r="I138">
        <v>5</v>
      </c>
    </row>
    <row r="139" spans="1:9">
      <c r="A139" t="s">
        <v>248</v>
      </c>
      <c r="B139">
        <v>2008</v>
      </c>
      <c r="C139">
        <v>8</v>
      </c>
      <c r="D139">
        <v>7</v>
      </c>
      <c r="E139">
        <v>10.383333333333333</v>
      </c>
      <c r="F139">
        <v>3</v>
      </c>
      <c r="G139">
        <v>0.16222600000000001</v>
      </c>
      <c r="H139">
        <v>3.4869281530029315</v>
      </c>
      <c r="I139">
        <v>1.1000000000000001</v>
      </c>
    </row>
    <row r="140" spans="1:9">
      <c r="A140" t="s">
        <v>249</v>
      </c>
      <c r="B140">
        <v>2008</v>
      </c>
      <c r="C140">
        <v>8</v>
      </c>
      <c r="D140">
        <v>7</v>
      </c>
      <c r="E140">
        <v>10.566666666666666</v>
      </c>
      <c r="F140">
        <v>3</v>
      </c>
      <c r="G140">
        <v>0.23838899999999999</v>
      </c>
      <c r="H140">
        <v>4.0703538702426751</v>
      </c>
      <c r="I140">
        <v>1.2</v>
      </c>
    </row>
  </sheetData>
  <phoneticPr fontId="9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8194" r:id="rId4">
          <objectPr defaultSize="0" r:id="rId5">
            <anchor moveWithCells="1">
              <from>
                <xdr:col>10</xdr:col>
                <xdr:colOff>276225</xdr:colOff>
                <xdr:row>3</xdr:row>
                <xdr:rowOff>152400</xdr:rowOff>
              </from>
              <to>
                <xdr:col>19</xdr:col>
                <xdr:colOff>219075</xdr:colOff>
                <xdr:row>18</xdr:row>
                <xdr:rowOff>142875</xdr:rowOff>
              </to>
            </anchor>
          </objectPr>
        </oleObject>
      </mc:Choice>
      <mc:Fallback>
        <oleObject progId="Word.Document.8" shapeId="8194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X9"/>
  <sheetViews>
    <sheetView tabSelected="1" workbookViewId="0">
      <selection activeCell="A2" sqref="A2"/>
    </sheetView>
  </sheetViews>
  <sheetFormatPr defaultRowHeight="12.75"/>
  <sheetData>
    <row r="1" spans="1:76" ht="15.75">
      <c r="A1" s="3" t="s">
        <v>20</v>
      </c>
      <c r="B1" s="3" t="s">
        <v>21</v>
      </c>
      <c r="C1" s="3" t="s">
        <v>33</v>
      </c>
      <c r="D1" s="3" t="s">
        <v>22</v>
      </c>
      <c r="E1" s="3" t="s">
        <v>23</v>
      </c>
      <c r="F1" s="3" t="s">
        <v>26</v>
      </c>
      <c r="G1" s="3" t="s">
        <v>24</v>
      </c>
      <c r="H1" s="3" t="s">
        <v>25</v>
      </c>
      <c r="I1" s="3" t="s">
        <v>178</v>
      </c>
      <c r="J1" s="3" t="s">
        <v>169</v>
      </c>
      <c r="K1" s="3" t="s">
        <v>141</v>
      </c>
      <c r="L1" s="3" t="s">
        <v>177</v>
      </c>
      <c r="M1" s="3" t="s">
        <v>253</v>
      </c>
      <c r="N1" s="3" t="s">
        <v>254</v>
      </c>
      <c r="O1" s="3" t="s">
        <v>255</v>
      </c>
      <c r="P1" s="3" t="s">
        <v>256</v>
      </c>
      <c r="Q1" s="3" t="s">
        <v>257</v>
      </c>
      <c r="R1" s="3" t="s">
        <v>258</v>
      </c>
      <c r="S1" s="3" t="s">
        <v>259</v>
      </c>
      <c r="T1" s="3" t="s">
        <v>260</v>
      </c>
      <c r="U1" s="3" t="s">
        <v>261</v>
      </c>
      <c r="V1" s="3" t="s">
        <v>262</v>
      </c>
      <c r="W1" s="3" t="s">
        <v>263</v>
      </c>
      <c r="X1" s="3" t="s">
        <v>264</v>
      </c>
      <c r="Y1" s="3" t="s">
        <v>265</v>
      </c>
      <c r="Z1" s="3" t="s">
        <v>266</v>
      </c>
      <c r="AA1" s="3" t="s">
        <v>267</v>
      </c>
      <c r="AB1" s="3" t="s">
        <v>268</v>
      </c>
      <c r="AC1" s="3" t="s">
        <v>269</v>
      </c>
      <c r="AD1" s="3" t="s">
        <v>270</v>
      </c>
      <c r="AE1" s="3" t="s">
        <v>271</v>
      </c>
      <c r="AF1" s="3" t="s">
        <v>272</v>
      </c>
      <c r="AG1" s="3" t="s">
        <v>273</v>
      </c>
      <c r="AH1" s="3" t="s">
        <v>274</v>
      </c>
      <c r="AI1" s="3" t="s">
        <v>275</v>
      </c>
      <c r="AJ1" s="3" t="s">
        <v>276</v>
      </c>
      <c r="AK1" s="3" t="s">
        <v>277</v>
      </c>
      <c r="AL1" s="3" t="s">
        <v>278</v>
      </c>
      <c r="AM1" s="3" t="s">
        <v>279</v>
      </c>
      <c r="AN1" s="3" t="s">
        <v>280</v>
      </c>
      <c r="AO1" s="3" t="s">
        <v>281</v>
      </c>
      <c r="AP1" s="3" t="s">
        <v>282</v>
      </c>
      <c r="AQ1" s="3" t="s">
        <v>283</v>
      </c>
      <c r="AR1" s="3" t="s">
        <v>284</v>
      </c>
      <c r="AS1" s="3" t="s">
        <v>285</v>
      </c>
      <c r="AT1" s="3" t="s">
        <v>286</v>
      </c>
      <c r="AU1" s="3" t="s">
        <v>287</v>
      </c>
      <c r="AV1" s="3" t="s">
        <v>288</v>
      </c>
      <c r="AW1" s="3" t="s">
        <v>289</v>
      </c>
      <c r="AX1" s="3" t="s">
        <v>290</v>
      </c>
      <c r="AY1" s="3" t="s">
        <v>291</v>
      </c>
      <c r="AZ1" s="3" t="s">
        <v>292</v>
      </c>
      <c r="BA1" s="3" t="s">
        <v>293</v>
      </c>
      <c r="BB1" s="3" t="s">
        <v>294</v>
      </c>
      <c r="BC1" s="3" t="s">
        <v>295</v>
      </c>
      <c r="BD1" s="3" t="s">
        <v>296</v>
      </c>
      <c r="BE1" s="3" t="s">
        <v>297</v>
      </c>
      <c r="BF1" s="3" t="s">
        <v>298</v>
      </c>
      <c r="BG1" s="3" t="s">
        <v>299</v>
      </c>
      <c r="BH1" s="3" t="s">
        <v>300</v>
      </c>
      <c r="BI1" s="3" t="s">
        <v>301</v>
      </c>
      <c r="BJ1" s="3" t="s">
        <v>302</v>
      </c>
      <c r="BK1" s="3" t="s">
        <v>303</v>
      </c>
      <c r="BL1" s="3" t="s">
        <v>304</v>
      </c>
      <c r="BM1" s="3" t="s">
        <v>305</v>
      </c>
      <c r="BN1" s="3" t="s">
        <v>306</v>
      </c>
      <c r="BO1" s="3" t="s">
        <v>307</v>
      </c>
      <c r="BP1" s="3" t="s">
        <v>308</v>
      </c>
      <c r="BQ1" s="3" t="s">
        <v>309</v>
      </c>
      <c r="BR1" s="3" t="s">
        <v>310</v>
      </c>
      <c r="BS1" s="3" t="s">
        <v>311</v>
      </c>
      <c r="BT1" s="3" t="s">
        <v>312</v>
      </c>
      <c r="BU1" s="3" t="s">
        <v>313</v>
      </c>
      <c r="BV1" s="3" t="s">
        <v>314</v>
      </c>
      <c r="BW1" s="3" t="s">
        <v>315</v>
      </c>
      <c r="BX1" s="3" t="s">
        <v>316</v>
      </c>
    </row>
    <row r="2" spans="1:76">
      <c r="A2" t="s">
        <v>249</v>
      </c>
      <c r="B2">
        <v>2008</v>
      </c>
      <c r="C2">
        <v>8</v>
      </c>
      <c r="D2">
        <v>7</v>
      </c>
      <c r="E2">
        <v>10.566666666666666</v>
      </c>
      <c r="F2">
        <v>3</v>
      </c>
      <c r="G2">
        <v>0.23838899999999999</v>
      </c>
      <c r="H2">
        <v>4.0703538702426751</v>
      </c>
      <c r="I2">
        <v>1.2</v>
      </c>
      <c r="J2" s="52">
        <f>-LN(EPARz/E0PAR)/z</f>
        <v>0.4437465695379883</v>
      </c>
      <c r="K2" s="53">
        <f>gamma/(Spectra!$G$32+Spectra!$H$32+Spectra!$J$32)</f>
        <v>3.84305450104404</v>
      </c>
      <c r="L2" s="52">
        <f>KdPAR*K2</f>
        <v>1.7053422513858181</v>
      </c>
      <c r="M2">
        <f>Spectra!J2</f>
        <v>0.99302769047075423</v>
      </c>
      <c r="N2">
        <f>Spectra!J3</f>
        <v>0.93712510603966304</v>
      </c>
      <c r="O2">
        <f>Spectra!J4</f>
        <v>0.88492567071712003</v>
      </c>
      <c r="P2">
        <f>Spectra!J5</f>
        <v>0.84149984391744925</v>
      </c>
      <c r="Q2">
        <f>Spectra!J6</f>
        <v>0.79897040291881516</v>
      </c>
      <c r="R2">
        <f>Spectra!J7</f>
        <v>0.75910146491339869</v>
      </c>
      <c r="S2">
        <f>Spectra!J8</f>
        <v>0.72710416174518755</v>
      </c>
      <c r="T2">
        <f>Spectra!J9</f>
        <v>0.6965617141061875</v>
      </c>
      <c r="U2">
        <f>Spectra!J10</f>
        <v>0.66621210352361593</v>
      </c>
      <c r="V2">
        <f>Spectra!J11</f>
        <v>0.63011714857582923</v>
      </c>
      <c r="W2">
        <f>Spectra!J12</f>
        <v>0.5939222271157103</v>
      </c>
      <c r="X2">
        <f>Spectra!J13</f>
        <v>0.56327944358599136</v>
      </c>
      <c r="Y2">
        <f>Spectra!J14</f>
        <v>0.53701766059107214</v>
      </c>
      <c r="Z2">
        <f>Spectra!J15</f>
        <v>0.51288500793306124</v>
      </c>
      <c r="AA2">
        <f>Spectra!J16</f>
        <v>0.48807993609645883</v>
      </c>
      <c r="AB2">
        <f>Spectra!J17</f>
        <v>0.46329154196242911</v>
      </c>
      <c r="AC2">
        <f>Spectra!J18</f>
        <v>0.4405935713150404</v>
      </c>
      <c r="AD2">
        <f>Spectra!J19</f>
        <v>0.42091237170950679</v>
      </c>
      <c r="AE2">
        <f>Spectra!J20</f>
        <v>0.40274713189884548</v>
      </c>
      <c r="AF2">
        <f>Spectra!J21</f>
        <v>0.38644598827138743</v>
      </c>
      <c r="AG2">
        <f>Spectra!J22</f>
        <v>0.37280154647544661</v>
      </c>
      <c r="AH2">
        <f>Spectra!J23</f>
        <v>0.36076883069141508</v>
      </c>
      <c r="AI2">
        <f>Spectra!J24</f>
        <v>0.35109010083705805</v>
      </c>
      <c r="AJ2">
        <f>Spectra!J25</f>
        <v>0.34172452439893353</v>
      </c>
      <c r="AK2">
        <f>Spectra!J26</f>
        <v>0.32803480008540375</v>
      </c>
      <c r="AL2">
        <f>Spectra!J27</f>
        <v>0.3152540261304253</v>
      </c>
      <c r="AM2">
        <f>Spectra!J28</f>
        <v>0.30501391692696389</v>
      </c>
      <c r="AN2">
        <f>Spectra!J29</f>
        <v>0.29557696848790549</v>
      </c>
      <c r="AO2">
        <f>Spectra!J30</f>
        <v>0.2876769317202772</v>
      </c>
      <c r="AP2">
        <f>Spectra!J31</f>
        <v>0.28163418538961438</v>
      </c>
      <c r="AQ2">
        <f>Spectra!J32</f>
        <v>0.27643028108501772</v>
      </c>
      <c r="AR2">
        <f>Spectra!J33</f>
        <v>0.27180210725327048</v>
      </c>
      <c r="AS2">
        <f>Spectra!J34</f>
        <v>0.26278856167667131</v>
      </c>
      <c r="AT2">
        <f>Spectra!J35</f>
        <v>0.25829099495918645</v>
      </c>
      <c r="AU2">
        <f>Spectra!J36</f>
        <v>0.257137316479225</v>
      </c>
      <c r="AV2">
        <f>Spectra!J37</f>
        <v>0.26047947848221081</v>
      </c>
      <c r="AW2">
        <f>Spectra!J38</f>
        <v>0.27135331168309901</v>
      </c>
      <c r="AX2">
        <f>Spectra!J39</f>
        <v>0.29193150415780744</v>
      </c>
      <c r="AY2">
        <f>Spectra!J40</f>
        <v>0.31709579305187119</v>
      </c>
      <c r="AZ2">
        <f>Spectra!J41</f>
        <v>0.34952231755979107</v>
      </c>
      <c r="BA2">
        <f>Spectra!J42</f>
        <v>0.40733322985188503</v>
      </c>
      <c r="BB2">
        <f>Spectra!J43</f>
        <v>0.44180290413990653</v>
      </c>
      <c r="BC2">
        <f>Spectra!J44</f>
        <v>0.4510283514523129</v>
      </c>
      <c r="BD2">
        <f>Spectra!J45</f>
        <v>0.45448649537671432</v>
      </c>
      <c r="BE2">
        <f>Spectra!J46</f>
        <v>0.46228010444530626</v>
      </c>
      <c r="BF2">
        <f>Spectra!J47</f>
        <v>0.46874689460479879</v>
      </c>
      <c r="BG2">
        <f>Spectra!J48</f>
        <v>0.47554261139508797</v>
      </c>
      <c r="BH2">
        <f>Spectra!J49</f>
        <v>0.48428885317150122</v>
      </c>
      <c r="BI2">
        <f>Spectra!J50</f>
        <v>0.49154830632610136</v>
      </c>
      <c r="BJ2">
        <f>Spectra!J51</f>
        <v>0.50484606375070307</v>
      </c>
      <c r="BK2">
        <f>Spectra!J52</f>
        <v>0.52084992828176735</v>
      </c>
      <c r="BL2">
        <f>Spectra!J53</f>
        <v>0.55858986881983297</v>
      </c>
      <c r="BM2">
        <f>Spectra!J54</f>
        <v>0.61446423659244609</v>
      </c>
      <c r="BN2">
        <f>Spectra!J55</f>
        <v>0.65391463573092412</v>
      </c>
      <c r="BO2">
        <f>Spectra!J56</f>
        <v>0.68184236798874054</v>
      </c>
      <c r="BP2">
        <f>Spectra!J57</f>
        <v>0.69572697680748985</v>
      </c>
      <c r="BQ2">
        <f>Spectra!J58</f>
        <v>0.70326860538440483</v>
      </c>
      <c r="BR2">
        <f>Spectra!J59</f>
        <v>0.70121405762149769</v>
      </c>
      <c r="BS2">
        <f>Spectra!J60</f>
        <v>0.70481134104915755</v>
      </c>
      <c r="BT2">
        <f>Spectra!J61</f>
        <v>0.72986520296607271</v>
      </c>
      <c r="BU2">
        <f>Spectra!J62</f>
        <v>0.78697942223741657</v>
      </c>
      <c r="BV2">
        <f>Spectra!J63</f>
        <v>0.86886975014224266</v>
      </c>
      <c r="BW2">
        <f>Spectra!J64</f>
        <v>0.99887100181160726</v>
      </c>
      <c r="BX2">
        <f>Spectra!J65</f>
        <v>1.1956900153900365</v>
      </c>
    </row>
    <row r="5" spans="1:76">
      <c r="H5" s="61"/>
      <c r="I5" s="61"/>
      <c r="J5" s="62"/>
      <c r="K5" s="62"/>
      <c r="L5" s="61"/>
      <c r="M5" s="61"/>
    </row>
    <row r="6" spans="1:76">
      <c r="H6" s="61"/>
      <c r="I6" s="61"/>
      <c r="J6" s="61"/>
      <c r="K6" s="61"/>
      <c r="L6" s="61"/>
      <c r="M6" s="61"/>
    </row>
    <row r="7" spans="1:76">
      <c r="H7" s="61"/>
      <c r="I7" s="61"/>
      <c r="J7" s="61"/>
      <c r="K7" s="61"/>
      <c r="L7" s="61"/>
      <c r="M7" s="61"/>
    </row>
    <row r="8" spans="1:76">
      <c r="H8" s="62"/>
      <c r="I8" s="62"/>
      <c r="J8" s="62"/>
      <c r="K8" s="62"/>
      <c r="L8" s="62"/>
      <c r="M8" s="62"/>
    </row>
    <row r="9" spans="1:76">
      <c r="H9" s="61"/>
      <c r="I9" s="61"/>
      <c r="J9" s="61"/>
      <c r="K9" s="61"/>
      <c r="L9" s="61"/>
      <c r="M9" s="61"/>
    </row>
  </sheetData>
  <phoneticPr fontId="9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4098" r:id="rId4">
          <objectPr defaultSize="0" r:id="rId5">
            <anchor moveWithCells="1">
              <from>
                <xdr:col>1</xdr:col>
                <xdr:colOff>0</xdr:colOff>
                <xdr:row>20</xdr:row>
                <xdr:rowOff>19050</xdr:rowOff>
              </from>
              <to>
                <xdr:col>11</xdr:col>
                <xdr:colOff>428625</xdr:colOff>
                <xdr:row>46</xdr:row>
                <xdr:rowOff>38100</xdr:rowOff>
              </to>
            </anchor>
          </objectPr>
        </oleObject>
      </mc:Choice>
      <mc:Fallback>
        <oleObject progId="Word.Document.8" shapeId="4098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6"/>
  <sheetViews>
    <sheetView workbookViewId="0">
      <selection activeCell="B11" sqref="B11"/>
    </sheetView>
  </sheetViews>
  <sheetFormatPr defaultRowHeight="12.75"/>
  <cols>
    <col min="1" max="1" width="14" bestFit="1" customWidth="1"/>
    <col min="3" max="3" width="14.7109375" bestFit="1" customWidth="1"/>
    <col min="4" max="4" width="6.42578125" bestFit="1" customWidth="1"/>
    <col min="12" max="12" width="14" bestFit="1" customWidth="1"/>
  </cols>
  <sheetData>
    <row r="1" spans="1:16">
      <c r="A1" s="57" t="s">
        <v>172</v>
      </c>
      <c r="B1" s="57" t="s">
        <v>173</v>
      </c>
      <c r="C1" s="57" t="s">
        <v>174</v>
      </c>
      <c r="L1" s="60" t="s">
        <v>149</v>
      </c>
      <c r="M1" s="60"/>
    </row>
    <row r="2" spans="1:16">
      <c r="A2" s="3" t="s">
        <v>2</v>
      </c>
      <c r="B2" s="58">
        <v>27.76</v>
      </c>
      <c r="C2" t="s">
        <v>170</v>
      </c>
      <c r="L2" s="3" t="s">
        <v>2</v>
      </c>
      <c r="M2" s="54">
        <v>30</v>
      </c>
    </row>
    <row r="3" spans="1:16">
      <c r="A3" s="3" t="s">
        <v>3</v>
      </c>
      <c r="B3" s="58">
        <v>-82.45</v>
      </c>
      <c r="C3" t="s">
        <v>171</v>
      </c>
      <c r="E3" t="s">
        <v>1</v>
      </c>
      <c r="L3" s="3" t="s">
        <v>3</v>
      </c>
      <c r="M3" s="54">
        <v>86</v>
      </c>
      <c r="P3" t="s">
        <v>1</v>
      </c>
    </row>
    <row r="4" spans="1:16" ht="14.25">
      <c r="A4" s="3" t="s">
        <v>145</v>
      </c>
      <c r="B4" s="58">
        <v>3.705E-2</v>
      </c>
      <c r="C4" t="s">
        <v>4</v>
      </c>
      <c r="D4" s="3" t="s">
        <v>17</v>
      </c>
      <c r="E4" s="58">
        <v>0.70279999999999998</v>
      </c>
      <c r="L4" s="3" t="s">
        <v>145</v>
      </c>
      <c r="M4" s="54">
        <v>1.7999999999999999E-2</v>
      </c>
      <c r="O4" s="3" t="s">
        <v>17</v>
      </c>
      <c r="P4" s="54">
        <v>1</v>
      </c>
    </row>
    <row r="5" spans="1:16">
      <c r="A5" s="3" t="s">
        <v>5</v>
      </c>
      <c r="B5" s="54">
        <v>0</v>
      </c>
      <c r="C5" t="s">
        <v>6</v>
      </c>
      <c r="L5" s="3" t="s">
        <v>5</v>
      </c>
      <c r="M5" s="54">
        <v>0</v>
      </c>
    </row>
    <row r="6" spans="1:16">
      <c r="A6" s="3" t="s">
        <v>7</v>
      </c>
      <c r="B6" s="54">
        <v>0</v>
      </c>
      <c r="C6" t="s">
        <v>6</v>
      </c>
      <c r="L6" s="3" t="s">
        <v>7</v>
      </c>
      <c r="M6" s="54">
        <v>0</v>
      </c>
    </row>
    <row r="7" spans="1:16">
      <c r="A7" s="3" t="s">
        <v>8</v>
      </c>
      <c r="B7" s="54">
        <v>0</v>
      </c>
      <c r="C7" t="s">
        <v>6</v>
      </c>
      <c r="L7" s="3" t="s">
        <v>8</v>
      </c>
      <c r="M7" s="54">
        <v>0</v>
      </c>
    </row>
    <row r="8" spans="1:16" ht="15.75">
      <c r="A8" s="4" t="s">
        <v>10</v>
      </c>
      <c r="B8" s="58">
        <v>1.9199999999999998E-2</v>
      </c>
      <c r="C8" t="s">
        <v>11</v>
      </c>
      <c r="L8" s="4" t="s">
        <v>10</v>
      </c>
      <c r="M8" s="54">
        <v>1.77E-2</v>
      </c>
    </row>
    <row r="9" spans="1:16" ht="15.75">
      <c r="A9" s="3" t="s">
        <v>13</v>
      </c>
      <c r="B9" s="54">
        <v>8.9999999999999993E-3</v>
      </c>
      <c r="C9" t="s">
        <v>11</v>
      </c>
      <c r="L9" s="3" t="s">
        <v>13</v>
      </c>
      <c r="M9" s="54">
        <v>8.9999999999999993E-3</v>
      </c>
    </row>
    <row r="10" spans="1:16" ht="15.75">
      <c r="A10" s="4" t="s">
        <v>150</v>
      </c>
      <c r="B10" s="54">
        <v>0.02</v>
      </c>
      <c r="L10" s="4" t="s">
        <v>150</v>
      </c>
      <c r="M10" s="54">
        <v>0.06</v>
      </c>
    </row>
    <row r="11" spans="1:16" ht="15.75">
      <c r="A11" s="3" t="s">
        <v>12</v>
      </c>
      <c r="B11" s="58">
        <v>6.5000000000000002E-2</v>
      </c>
      <c r="C11" t="s">
        <v>151</v>
      </c>
      <c r="D11" s="3" t="s">
        <v>18</v>
      </c>
      <c r="E11" s="58">
        <v>1</v>
      </c>
      <c r="L11" s="3" t="s">
        <v>12</v>
      </c>
      <c r="M11" s="54">
        <v>0.1</v>
      </c>
      <c r="O11" s="3" t="s">
        <v>18</v>
      </c>
      <c r="P11" s="54">
        <v>1</v>
      </c>
    </row>
    <row r="12" spans="1:16" ht="15.75">
      <c r="A12" s="3" t="s">
        <v>14</v>
      </c>
      <c r="B12" s="58">
        <v>1.0628</v>
      </c>
      <c r="C12" t="s">
        <v>151</v>
      </c>
      <c r="D12" s="3" t="s">
        <v>19</v>
      </c>
      <c r="E12" s="58">
        <v>1</v>
      </c>
      <c r="L12" s="3" t="s">
        <v>14</v>
      </c>
      <c r="M12" s="54">
        <v>0.75</v>
      </c>
      <c r="O12" s="3" t="s">
        <v>19</v>
      </c>
      <c r="P12" s="54">
        <v>1</v>
      </c>
    </row>
    <row r="13" spans="1:16">
      <c r="A13" s="3" t="s">
        <v>15</v>
      </c>
      <c r="B13" s="58">
        <v>0.73899999999999999</v>
      </c>
      <c r="C13" t="s">
        <v>6</v>
      </c>
      <c r="L13" s="3" t="s">
        <v>15</v>
      </c>
      <c r="M13" s="54">
        <v>0.5</v>
      </c>
    </row>
    <row r="14" spans="1:16" ht="15.75">
      <c r="A14" s="3" t="s">
        <v>16</v>
      </c>
      <c r="B14" s="54">
        <v>0</v>
      </c>
      <c r="C14" t="s">
        <v>6</v>
      </c>
      <c r="L14" s="3" t="s">
        <v>16</v>
      </c>
      <c r="M14" s="54">
        <v>0</v>
      </c>
    </row>
    <row r="15" spans="1:16">
      <c r="A15" s="3" t="s">
        <v>9</v>
      </c>
      <c r="B15" s="58">
        <v>0.02</v>
      </c>
      <c r="C15" t="s">
        <v>6</v>
      </c>
      <c r="L15" s="3" t="s">
        <v>9</v>
      </c>
      <c r="M15" s="54">
        <v>1.2500000000000001E-2</v>
      </c>
    </row>
    <row r="16" spans="1:16">
      <c r="A16" s="3" t="s">
        <v>154</v>
      </c>
      <c r="B16" s="54">
        <v>0.5</v>
      </c>
      <c r="C16" t="s">
        <v>6</v>
      </c>
      <c r="L16" s="3" t="s">
        <v>154</v>
      </c>
      <c r="M16" s="54">
        <v>0.5</v>
      </c>
    </row>
    <row r="17" spans="1:3" ht="15.75">
      <c r="A17" s="3" t="s">
        <v>139</v>
      </c>
      <c r="B17" s="52">
        <f>B10*astarmin440</f>
        <v>1.3000000000000002E-3</v>
      </c>
      <c r="C17" t="s">
        <v>151</v>
      </c>
    </row>
    <row r="18" spans="1:3">
      <c r="A18" s="3" t="s">
        <v>140</v>
      </c>
      <c r="B18" s="52">
        <f>LN((0.85-0.33*bb2b*B19)/(0.33*bb2b*B19)/0.02)</f>
        <v>6.6145264934368155</v>
      </c>
      <c r="C18" t="s">
        <v>6</v>
      </c>
    </row>
    <row r="19" spans="1:3">
      <c r="A19" s="3" t="s">
        <v>143</v>
      </c>
      <c r="B19" s="52">
        <f>Spectra!H32/Spectra!G32</f>
        <v>8.091200546849425</v>
      </c>
      <c r="C19" t="s">
        <v>6</v>
      </c>
    </row>
    <row r="20" spans="1:3" ht="14.25">
      <c r="A20" s="3" t="s">
        <v>138</v>
      </c>
      <c r="B20" s="52">
        <f>KdPAR</f>
        <v>0.4437465695379883</v>
      </c>
      <c r="C20" t="s">
        <v>147</v>
      </c>
    </row>
    <row r="21" spans="1:3">
      <c r="A21" s="3" t="s">
        <v>148</v>
      </c>
      <c r="B21" s="53">
        <f>ZSD</f>
        <v>3.84305450104404</v>
      </c>
      <c r="C21" t="s">
        <v>146</v>
      </c>
    </row>
    <row r="23" spans="1:3">
      <c r="A23" s="56" t="s">
        <v>164</v>
      </c>
      <c r="B23" s="56"/>
    </row>
    <row r="24" spans="1:3">
      <c r="A24" s="55" t="s">
        <v>165</v>
      </c>
      <c r="B24">
        <v>8.4000000000000005E-2</v>
      </c>
    </row>
    <row r="25" spans="1:3">
      <c r="A25" s="55" t="s">
        <v>166</v>
      </c>
      <c r="B25">
        <v>0.17</v>
      </c>
    </row>
    <row r="26" spans="1:3">
      <c r="A26" s="55" t="s">
        <v>176</v>
      </c>
      <c r="B26">
        <v>0</v>
      </c>
    </row>
  </sheetData>
  <mergeCells count="1">
    <mergeCell ref="L1:M1"/>
  </mergeCells>
  <phoneticPr fontId="9" type="noConversion"/>
  <dataValidations count="1">
    <dataValidation type="decimal" showInputMessage="1" showErrorMessage="1" error="Value must be between 0 and 0.3" sqref="M14 B14" xr:uid="{00000000-0002-0000-0300-000000000000}">
      <formula1>0</formula1>
      <formula2>0.7</formula2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1029" r:id="rId4">
          <objectPr defaultSize="0" autoPict="0" r:id="rId5">
            <anchor moveWithCells="1">
              <from>
                <xdr:col>0</xdr:col>
                <xdr:colOff>152400</xdr:colOff>
                <xdr:row>29</xdr:row>
                <xdr:rowOff>0</xdr:rowOff>
              </from>
              <to>
                <xdr:col>9</xdr:col>
                <xdr:colOff>95250</xdr:colOff>
                <xdr:row>91</xdr:row>
                <xdr:rowOff>95250</xdr:rowOff>
              </to>
            </anchor>
          </objectPr>
        </oleObject>
      </mc:Choice>
      <mc:Fallback>
        <oleObject progId="Word.Document.8" shapeId="1029" r:id="rId4"/>
      </mc:Fallback>
    </mc:AlternateContent>
    <mc:AlternateContent xmlns:mc="http://schemas.openxmlformats.org/markup-compatibility/2006">
      <mc:Choice Requires="x14">
        <oleObject progId="Word.Document.8" shapeId="1032" r:id="rId6">
          <objectPr defaultSize="0" autoPict="0" r:id="rId7">
            <anchor moveWithCells="1">
              <from>
                <xdr:col>10</xdr:col>
                <xdr:colOff>9525</xdr:colOff>
                <xdr:row>29</xdr:row>
                <xdr:rowOff>133350</xdr:rowOff>
              </from>
              <to>
                <xdr:col>19</xdr:col>
                <xdr:colOff>552450</xdr:colOff>
                <xdr:row>68</xdr:row>
                <xdr:rowOff>57150</xdr:rowOff>
              </to>
            </anchor>
          </objectPr>
        </oleObject>
      </mc:Choice>
      <mc:Fallback>
        <oleObject progId="Word.Document.8" shapeId="1032" r:id="rId6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L22" sqref="L22"/>
    </sheetView>
  </sheetViews>
  <sheetFormatPr defaultRowHeight="12.75"/>
  <sheetData/>
  <phoneticPr fontId="9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P2"/>
  <sheetViews>
    <sheetView workbookViewId="0"/>
  </sheetViews>
  <sheetFormatPr defaultRowHeight="12.75"/>
  <sheetData>
    <row r="2" spans="16:16">
      <c r="P2" t="e">
        <f ca="1">_xll.CB.RecalcCounterFN()</f>
        <v>#NAME?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R68"/>
  <sheetViews>
    <sheetView workbookViewId="0">
      <selection activeCell="J2" sqref="J2"/>
    </sheetView>
  </sheetViews>
  <sheetFormatPr defaultRowHeight="12.75"/>
  <sheetData>
    <row r="1" spans="1:17" ht="15.75">
      <c r="A1" s="50" t="s">
        <v>0</v>
      </c>
      <c r="B1" s="50" t="s">
        <v>162</v>
      </c>
      <c r="C1" s="50" t="s">
        <v>161</v>
      </c>
      <c r="D1" s="50" t="s">
        <v>160</v>
      </c>
      <c r="E1" s="50" t="s">
        <v>130</v>
      </c>
      <c r="F1" s="50" t="s">
        <v>131</v>
      </c>
      <c r="G1" s="50" t="s">
        <v>132</v>
      </c>
      <c r="H1" s="50" t="s">
        <v>49</v>
      </c>
      <c r="I1" s="50" t="s">
        <v>156</v>
      </c>
      <c r="J1" s="50" t="s">
        <v>133</v>
      </c>
      <c r="K1" s="50" t="s">
        <v>163</v>
      </c>
      <c r="L1" s="50" t="s">
        <v>175</v>
      </c>
      <c r="M1" s="50" t="s">
        <v>167</v>
      </c>
      <c r="N1" s="50" t="s">
        <v>168</v>
      </c>
      <c r="O1" s="50" t="s">
        <v>134</v>
      </c>
      <c r="P1" s="51" t="s">
        <v>135</v>
      </c>
      <c r="Q1" s="51" t="s">
        <v>250</v>
      </c>
    </row>
    <row r="2" spans="1:17">
      <c r="A2">
        <v>400</v>
      </c>
      <c r="B2">
        <v>6.6299999999999996E-3</v>
      </c>
      <c r="C2" s="2">
        <v>7.6E-3</v>
      </c>
      <c r="D2">
        <f t="shared" ref="D2:D33" si="0">CDOM440*EXP(-sCDOM*(Lambda-440))</f>
        <v>0.513835817481477</v>
      </c>
      <c r="E2">
        <f t="array" ref="E2:E65">phistar676*(CHLA^chlexp)*Phinorm</f>
        <v>0.11773022448965238</v>
      </c>
      <c r="F2">
        <f t="array" ref="F2:F65">(TSS^apexp)*(astarminlw+astarmin440*EXP(-sNAP*(Lambda-440)))</f>
        <v>0.11335969433570653</v>
      </c>
      <c r="G2">
        <f t="array" ref="G2:G65">aw+acdom+aphyto+adetr</f>
        <v>0.75155573630683592</v>
      </c>
      <c r="H2">
        <f t="shared" ref="H2:H33" si="1">bw+bpstar555*(TSS^bpexp)*((555/Lambda)^eta-cphistar*bphin)</f>
        <v>1.6321869964426539</v>
      </c>
      <c r="I2">
        <f t="array" ref="I2:I65">0.5*bw+btotal*BBnorm*bb2b</f>
        <v>3.7294898414020304E-2</v>
      </c>
      <c r="J2">
        <f t="array" ref="J2:J65">(1+0.005*Theta0)*atotal+4.18*(1-0.52*EXP(-10.8*atotal))*bbp</f>
        <v>0.99302769047075423</v>
      </c>
      <c r="K2">
        <f t="array" ref="K2:K65">bbp/(atotal+bbp)</f>
        <v>4.7277515885142854E-2</v>
      </c>
      <c r="L2">
        <f t="array" ref="L2:L65">atotal+bbp</f>
        <v>0.78885063472085626</v>
      </c>
      <c r="M2">
        <f t="array" ref="M2:M65">(0.07+0.155*u^0.752)*u*(1-1.03*EXP(-((1/mu0)+1.2*(1+2*u)^0.5)*alpha*z))+0.31*rho*EXP(-((1/mu0)+1.1*(1+4.9*u)^0.5)*alpha*z)</f>
        <v>4.0298793686673433E-3</v>
      </c>
      <c r="N2">
        <f t="array" ref="N2:N65">0.52*rrs/(1-1.7*rrs)</f>
        <v>2.1099923969152539E-3</v>
      </c>
      <c r="O2">
        <v>4.78</v>
      </c>
      <c r="P2">
        <f t="array" ref="P2:P62">E0*EXP(-Kd*z)</f>
        <v>0.24301246882793337</v>
      </c>
      <c r="Q2">
        <f t="array" ref="Q2:Q62">E0*EXP(-Kd*1.5)</f>
        <v>1.0777753017199465</v>
      </c>
    </row>
    <row r="3" spans="1:17">
      <c r="A3">
        <v>405</v>
      </c>
      <c r="B3">
        <v>5.3E-3</v>
      </c>
      <c r="C3" s="2">
        <v>7.1999999999999998E-3</v>
      </c>
      <c r="D3">
        <f t="shared" si="0"/>
        <v>0.46680135034916931</v>
      </c>
      <c r="E3">
        <v>0.12243187306509971</v>
      </c>
      <c r="F3">
        <v>0.10844022625464575</v>
      </c>
      <c r="G3">
        <v>0.70297344966891484</v>
      </c>
      <c r="H3">
        <f t="shared" si="1"/>
        <v>1.6169411427423419</v>
      </c>
      <c r="I3">
        <v>3.6871342559189495E-2</v>
      </c>
      <c r="J3">
        <v>0.93712510603966304</v>
      </c>
      <c r="K3">
        <v>4.9836591331741856E-2</v>
      </c>
      <c r="L3">
        <v>0.73984479222810429</v>
      </c>
      <c r="M3">
        <v>4.2718278482033988E-3</v>
      </c>
      <c r="N3">
        <v>2.2376001737156471E-3</v>
      </c>
      <c r="O3">
        <v>5.5679999999999996</v>
      </c>
      <c r="P3">
        <v>0.33476067846902097</v>
      </c>
      <c r="Q3">
        <v>1.3652646108778725</v>
      </c>
    </row>
    <row r="4" spans="1:17">
      <c r="A4">
        <v>410</v>
      </c>
      <c r="B4">
        <v>4.7299999999999998E-3</v>
      </c>
      <c r="C4" s="2">
        <v>6.7999999999999996E-3</v>
      </c>
      <c r="D4">
        <f t="shared" si="0"/>
        <v>0.42407222944450146</v>
      </c>
      <c r="E4">
        <v>0.12520044152004819</v>
      </c>
      <c r="F4">
        <v>0.10373722715719329</v>
      </c>
      <c r="G4">
        <v>0.65773989812174294</v>
      </c>
      <c r="H4">
        <f t="shared" si="1"/>
        <v>1.6020106344578957</v>
      </c>
      <c r="I4">
        <v>3.6443350701041814E-2</v>
      </c>
      <c r="J4">
        <v>0.88492567071712003</v>
      </c>
      <c r="K4">
        <v>5.2498170710462207E-2</v>
      </c>
      <c r="L4">
        <v>0.6941832488227847</v>
      </c>
      <c r="M4">
        <v>4.5235540338508023E-3</v>
      </c>
      <c r="N4">
        <v>2.3704771662331082E-3</v>
      </c>
      <c r="O4">
        <v>6.0030000000000001</v>
      </c>
      <c r="P4">
        <v>0.42209804074805496</v>
      </c>
      <c r="Q4">
        <v>1.5918085747383615</v>
      </c>
    </row>
    <row r="5" spans="1:17">
      <c r="A5">
        <v>415</v>
      </c>
      <c r="B5">
        <v>4.4400000000000004E-3</v>
      </c>
      <c r="C5" s="2">
        <v>6.45E-3</v>
      </c>
      <c r="D5">
        <f t="shared" si="0"/>
        <v>0.38525436066436164</v>
      </c>
      <c r="E5">
        <v>0.13137187283600035</v>
      </c>
      <c r="F5">
        <v>9.9241171862965424E-2</v>
      </c>
      <c r="G5">
        <v>0.6203074053633274</v>
      </c>
      <c r="H5">
        <f t="shared" si="1"/>
        <v>1.5874350486774418</v>
      </c>
      <c r="I5">
        <v>3.6037046528571183E-2</v>
      </c>
      <c r="J5">
        <v>0.84149984391744925</v>
      </c>
      <c r="K5">
        <v>5.4905692315513871E-2</v>
      </c>
      <c r="L5">
        <v>0.65634445189189861</v>
      </c>
      <c r="M5">
        <v>4.7506960898956998E-3</v>
      </c>
      <c r="N5">
        <v>2.4904755035481323E-3</v>
      </c>
      <c r="O5">
        <v>6.0519999999999996</v>
      </c>
      <c r="P5">
        <v>0.48475545299948397</v>
      </c>
      <c r="Q5">
        <v>1.7128163945831663</v>
      </c>
    </row>
    <row r="6" spans="1:17">
      <c r="A6">
        <v>420</v>
      </c>
      <c r="B6">
        <v>4.5399999999999998E-3</v>
      </c>
      <c r="C6" s="2">
        <v>6.1000000000000004E-3</v>
      </c>
      <c r="D6">
        <f t="shared" si="0"/>
        <v>0.34998972369712772</v>
      </c>
      <c r="E6">
        <v>0.13423530128814376</v>
      </c>
      <c r="F6">
        <v>9.494295432350118E-2</v>
      </c>
      <c r="G6">
        <v>0.58370797930877261</v>
      </c>
      <c r="H6">
        <f t="shared" si="1"/>
        <v>1.5731544271616236</v>
      </c>
      <c r="I6">
        <v>3.5626487643478318E-2</v>
      </c>
      <c r="J6">
        <v>0.79897040291881516</v>
      </c>
      <c r="K6">
        <v>5.7523825242274181E-2</v>
      </c>
      <c r="L6">
        <v>0.61933446695225092</v>
      </c>
      <c r="M6">
        <v>4.9969127406378584E-3</v>
      </c>
      <c r="N6">
        <v>2.6206564508655665E-3</v>
      </c>
      <c r="O6">
        <v>6.1349999999999998</v>
      </c>
      <c r="P6">
        <v>0.55827638221670417</v>
      </c>
      <c r="Q6">
        <v>1.8506824700362512</v>
      </c>
    </row>
    <row r="7" spans="1:17">
      <c r="A7">
        <v>425</v>
      </c>
      <c r="B7">
        <v>4.7800000000000004E-3</v>
      </c>
      <c r="C7" s="2">
        <v>5.7999999999999996E-3</v>
      </c>
      <c r="D7">
        <f t="shared" si="0"/>
        <v>0.31795306997266953</v>
      </c>
      <c r="E7">
        <v>0.13586244463434</v>
      </c>
      <c r="F7">
        <v>9.0833869179402518E-2</v>
      </c>
      <c r="G7">
        <v>0.54942938378641204</v>
      </c>
      <c r="H7">
        <f t="shared" si="1"/>
        <v>1.5592092503964448</v>
      </c>
      <c r="I7">
        <v>3.5237794723669794E-2</v>
      </c>
      <c r="J7">
        <v>0.75910146491339869</v>
      </c>
      <c r="K7">
        <v>6.0269835589996539E-2</v>
      </c>
      <c r="L7">
        <v>0.58466717851008188</v>
      </c>
      <c r="M7">
        <v>5.2539673228444925E-3</v>
      </c>
      <c r="N7">
        <v>2.7566850139496691E-3</v>
      </c>
      <c r="O7">
        <v>6.0170000000000003</v>
      </c>
      <c r="P7">
        <v>0.61710530409179398</v>
      </c>
      <c r="Q7">
        <v>1.926946448327074</v>
      </c>
    </row>
    <row r="8" spans="1:17">
      <c r="A8">
        <v>430</v>
      </c>
      <c r="B8">
        <v>4.9500000000000004E-3</v>
      </c>
      <c r="C8" s="2">
        <v>5.4999999999999997E-3</v>
      </c>
      <c r="D8">
        <f t="shared" si="0"/>
        <v>0.28884892286874564</v>
      </c>
      <c r="E8">
        <v>0.14153281257476019</v>
      </c>
      <c r="F8">
        <v>8.6905594129006405E-2</v>
      </c>
      <c r="G8">
        <v>0.52223732957251223</v>
      </c>
      <c r="H8">
        <f t="shared" si="1"/>
        <v>1.5455404133802968</v>
      </c>
      <c r="I8">
        <v>3.4845014471531641E-2</v>
      </c>
      <c r="J8">
        <v>0.72710416174518755</v>
      </c>
      <c r="K8">
        <v>6.2549127331123486E-2</v>
      </c>
      <c r="L8">
        <v>0.55708234404404389</v>
      </c>
      <c r="M8">
        <v>5.464862345978521E-3</v>
      </c>
      <c r="N8">
        <v>2.8683763996154295E-3</v>
      </c>
      <c r="O8">
        <v>5.8929999999999998</v>
      </c>
      <c r="P8">
        <v>0.66527999662882853</v>
      </c>
      <c r="Q8">
        <v>1.980023994837862</v>
      </c>
    </row>
    <row r="9" spans="1:17">
      <c r="A9">
        <v>435</v>
      </c>
      <c r="B9">
        <v>5.3E-3</v>
      </c>
      <c r="C9" s="2">
        <v>5.1999999999999998E-3</v>
      </c>
      <c r="D9">
        <f t="shared" si="0"/>
        <v>0.26240885250646062</v>
      </c>
      <c r="E9">
        <v>0.14552211989223979</v>
      </c>
      <c r="F9">
        <v>8.3150173072879904E-2</v>
      </c>
      <c r="G9">
        <v>0.49638114547158035</v>
      </c>
      <c r="H9">
        <f t="shared" si="1"/>
        <v>1.5321392030106418</v>
      </c>
      <c r="I9">
        <v>3.4448224582023144E-2</v>
      </c>
      <c r="J9">
        <v>0.6965617141061875</v>
      </c>
      <c r="K9">
        <v>6.4895099113571164E-2</v>
      </c>
      <c r="L9">
        <v>0.53082937005360353</v>
      </c>
      <c r="M9">
        <v>5.6798534369403748E-3</v>
      </c>
      <c r="N9">
        <v>2.9823203292415651E-3</v>
      </c>
      <c r="O9">
        <v>5.94</v>
      </c>
      <c r="P9">
        <v>0.73493294961511135</v>
      </c>
      <c r="Q9">
        <v>2.0893783096207739</v>
      </c>
    </row>
    <row r="10" spans="1:17">
      <c r="A10">
        <v>440</v>
      </c>
      <c r="B10">
        <v>6.3499999999999997E-3</v>
      </c>
      <c r="C10" s="2">
        <v>4.8999999999999998E-3</v>
      </c>
      <c r="D10">
        <f t="shared" si="0"/>
        <v>0.23838899999999999</v>
      </c>
      <c r="E10">
        <v>0.14643558453628577</v>
      </c>
      <c r="F10">
        <v>7.9559999999999992E-2</v>
      </c>
      <c r="G10">
        <v>0.47073458453628569</v>
      </c>
      <c r="H10">
        <f t="shared" si="1"/>
        <v>1.5189972769476623</v>
      </c>
      <c r="I10">
        <v>3.4047500365580817E-2</v>
      </c>
      <c r="J10">
        <v>0.66621210352361593</v>
      </c>
      <c r="K10">
        <v>6.744989844914942E-2</v>
      </c>
      <c r="L10">
        <v>0.50478208490186649</v>
      </c>
      <c r="M10">
        <v>5.9116486912132154E-3</v>
      </c>
      <c r="N10">
        <v>3.1052646163899716E-3</v>
      </c>
      <c r="O10">
        <v>6.6589999999999998</v>
      </c>
      <c r="P10">
        <v>0.90242744311957379</v>
      </c>
      <c r="Q10">
        <v>2.4513800896093696</v>
      </c>
    </row>
    <row r="11" spans="1:17">
      <c r="A11">
        <v>445</v>
      </c>
      <c r="B11">
        <v>7.5100000000000002E-3</v>
      </c>
      <c r="C11" s="2">
        <v>4.7000000000000002E-3</v>
      </c>
      <c r="D11">
        <f t="shared" si="0"/>
        <v>0.21656782832660279</v>
      </c>
      <c r="E11">
        <v>0.1396049372496867</v>
      </c>
      <c r="F11">
        <v>7.6127803582981796E-2</v>
      </c>
      <c r="G11">
        <v>0.4398105691592713</v>
      </c>
      <c r="H11">
        <f t="shared" si="1"/>
        <v>1.5062066438428769</v>
      </c>
      <c r="I11">
        <v>3.3694995912363995E-2</v>
      </c>
      <c r="J11">
        <v>0.63011714857582923</v>
      </c>
      <c r="K11">
        <v>7.1160717841333876E-2</v>
      </c>
      <c r="L11">
        <v>0.47350556507163533</v>
      </c>
      <c r="M11">
        <v>6.2479079501384848E-3</v>
      </c>
      <c r="N11">
        <v>3.28379073184617E-3</v>
      </c>
      <c r="O11">
        <v>7.1520000000000001</v>
      </c>
      <c r="P11">
        <v>1.0800859185056113</v>
      </c>
      <c r="Q11">
        <v>2.7793478532116365</v>
      </c>
    </row>
    <row r="12" spans="1:17">
      <c r="A12">
        <v>450</v>
      </c>
      <c r="B12">
        <v>9.2200000000000008E-3</v>
      </c>
      <c r="C12" s="2">
        <v>4.4999999999999997E-3</v>
      </c>
      <c r="D12">
        <f t="shared" si="0"/>
        <v>0.19674407907286368</v>
      </c>
      <c r="E12">
        <v>0.13006035771031085</v>
      </c>
      <c r="F12">
        <v>7.2846632451155802E-2</v>
      </c>
      <c r="G12">
        <v>0.40887106923433031</v>
      </c>
      <c r="H12">
        <f t="shared" si="1"/>
        <v>1.4936596448303641</v>
      </c>
      <c r="I12">
        <v>3.3338701673164196E-2</v>
      </c>
      <c r="J12">
        <v>0.5939222271157103</v>
      </c>
      <c r="K12">
        <v>7.5391146615207405E-2</v>
      </c>
      <c r="L12">
        <v>0.44220977090749453</v>
      </c>
      <c r="M12">
        <v>6.6257218721344968E-3</v>
      </c>
      <c r="N12">
        <v>3.4846252415646241E-3</v>
      </c>
      <c r="O12">
        <v>7.548</v>
      </c>
      <c r="P12">
        <v>1.2706339461955158</v>
      </c>
      <c r="Q12">
        <v>3.0968928018069586</v>
      </c>
    </row>
    <row r="13" spans="1:17">
      <c r="A13">
        <v>455</v>
      </c>
      <c r="B13">
        <v>9.6200000000000001E-3</v>
      </c>
      <c r="C13" s="2">
        <v>4.3E-3</v>
      </c>
      <c r="D13">
        <f t="shared" si="0"/>
        <v>0.1787349162122728</v>
      </c>
      <c r="E13">
        <v>0.12489057928675108</v>
      </c>
      <c r="F13">
        <v>6.9709841111666684E-2</v>
      </c>
      <c r="G13">
        <v>0.38295533661069053</v>
      </c>
      <c r="H13">
        <f t="shared" si="1"/>
        <v>1.4813489361869583</v>
      </c>
      <c r="I13">
        <v>3.2978684699204841E-2</v>
      </c>
      <c r="J13">
        <v>0.56327944358599136</v>
      </c>
      <c r="K13">
        <v>7.928825969884723E-2</v>
      </c>
      <c r="L13">
        <v>0.41593402130989537</v>
      </c>
      <c r="M13">
        <v>6.9657563602500364E-3</v>
      </c>
      <c r="N13">
        <v>3.6656005640838037E-3</v>
      </c>
      <c r="O13">
        <v>7.8259999999999996</v>
      </c>
      <c r="P13">
        <v>1.4442832720774432</v>
      </c>
      <c r="Q13">
        <v>3.3619876393702088</v>
      </c>
    </row>
    <row r="14" spans="1:17">
      <c r="A14">
        <v>460</v>
      </c>
      <c r="B14">
        <v>9.7900000000000001E-3</v>
      </c>
      <c r="C14" s="2">
        <v>4.1000000000000003E-3</v>
      </c>
      <c r="D14">
        <f t="shared" si="0"/>
        <v>0.16237423979390506</v>
      </c>
      <c r="E14">
        <v>0.12212921496661125</v>
      </c>
      <c r="F14">
        <v>6.6711076490079221E-2</v>
      </c>
      <c r="G14">
        <v>0.36100453125059551</v>
      </c>
      <c r="H14">
        <f t="shared" si="1"/>
        <v>1.4692674730756676</v>
      </c>
      <c r="I14">
        <v>3.2615010056471765E-2</v>
      </c>
      <c r="J14">
        <v>0.53701766059107214</v>
      </c>
      <c r="K14">
        <v>8.2859224793995698E-2</v>
      </c>
      <c r="L14">
        <v>0.39361954130706728</v>
      </c>
      <c r="M14">
        <v>7.2691548732065321E-3</v>
      </c>
      <c r="N14">
        <v>3.8272560934479814E-3</v>
      </c>
      <c r="O14">
        <v>7.9470000000000001</v>
      </c>
      <c r="P14">
        <v>1.5868350806112785</v>
      </c>
      <c r="Q14">
        <v>3.5511376185129508</v>
      </c>
    </row>
    <row r="15" spans="1:17">
      <c r="A15">
        <v>465</v>
      </c>
      <c r="B15">
        <v>1.0109999999999999E-2</v>
      </c>
      <c r="C15" s="2">
        <v>3.8999999999999998E-3</v>
      </c>
      <c r="D15">
        <f t="shared" si="0"/>
        <v>0.14751115398927411</v>
      </c>
      <c r="E15">
        <v>0.11954517255265515</v>
      </c>
      <c r="F15">
        <v>6.3844265063231403E-2</v>
      </c>
      <c r="G15">
        <v>0.34101059160516067</v>
      </c>
      <c r="H15">
        <f t="shared" si="1"/>
        <v>1.457408494293706</v>
      </c>
      <c r="I15">
        <v>3.2247740911945037E-2</v>
      </c>
      <c r="J15">
        <v>0.51288500793306124</v>
      </c>
      <c r="K15">
        <v>8.6395233816962902E-2</v>
      </c>
      <c r="L15">
        <v>0.37325833251710572</v>
      </c>
      <c r="M15">
        <v>7.5619450732498823E-3</v>
      </c>
      <c r="N15">
        <v>3.9834195174002357E-3</v>
      </c>
      <c r="O15">
        <v>7.9630000000000001</v>
      </c>
      <c r="P15">
        <v>1.7094142867571138</v>
      </c>
      <c r="Q15">
        <v>3.6894533423593927</v>
      </c>
    </row>
    <row r="16" spans="1:17">
      <c r="A16">
        <v>470</v>
      </c>
      <c r="B16">
        <v>1.06E-2</v>
      </c>
      <c r="C16" s="2">
        <v>3.7000000000000002E-3</v>
      </c>
      <c r="D16">
        <f t="shared" si="0"/>
        <v>0.1340085753680253</v>
      </c>
      <c r="E16">
        <v>0.11479089074317864</v>
      </c>
      <c r="F16">
        <v>6.1103600558274559E-2</v>
      </c>
      <c r="G16">
        <v>0.32050306666947848</v>
      </c>
      <c r="H16">
        <f t="shared" si="1"/>
        <v>1.4457655079530152</v>
      </c>
      <c r="I16">
        <v>3.1876938615109221E-2</v>
      </c>
      <c r="J16">
        <v>0.48807993609645883</v>
      </c>
      <c r="K16">
        <v>9.0461825691173656E-2</v>
      </c>
      <c r="L16">
        <v>0.35238000528458768</v>
      </c>
      <c r="M16">
        <v>7.8919921091112413E-3</v>
      </c>
      <c r="N16">
        <v>4.159643279027004E-3</v>
      </c>
      <c r="O16">
        <v>7.99</v>
      </c>
      <c r="P16">
        <v>1.8477172374766504</v>
      </c>
      <c r="Q16">
        <v>3.8422988857503571</v>
      </c>
    </row>
    <row r="17" spans="1:17">
      <c r="A17">
        <v>475</v>
      </c>
      <c r="B17">
        <v>1.14E-2</v>
      </c>
      <c r="C17" s="2">
        <v>3.5500000000000002E-3</v>
      </c>
      <c r="D17">
        <f t="shared" si="0"/>
        <v>0.12174196856648216</v>
      </c>
      <c r="E17">
        <v>0.10838762304172661</v>
      </c>
      <c r="F17">
        <v>5.8483532192986437E-2</v>
      </c>
      <c r="G17">
        <v>0.30001312380119521</v>
      </c>
      <c r="H17">
        <f t="shared" si="1"/>
        <v>1.4343822780270437</v>
      </c>
      <c r="I17">
        <v>3.152869993579948E-2</v>
      </c>
      <c r="J17">
        <v>0.46329154196242911</v>
      </c>
      <c r="K17">
        <v>9.5097202459773364E-2</v>
      </c>
      <c r="L17">
        <v>0.3315418237369947</v>
      </c>
      <c r="M17">
        <v>8.2610350335198465E-3</v>
      </c>
      <c r="N17">
        <v>4.3569258362826848E-3</v>
      </c>
      <c r="O17">
        <v>8.1189999999999998</v>
      </c>
      <c r="P17">
        <v>2.022495951045034</v>
      </c>
      <c r="Q17">
        <v>4.0522394581927941</v>
      </c>
    </row>
    <row r="18" spans="1:17">
      <c r="A18">
        <v>480</v>
      </c>
      <c r="B18">
        <v>1.2699999999999999E-2</v>
      </c>
      <c r="C18" s="2">
        <v>3.3999999999999998E-3</v>
      </c>
      <c r="D18">
        <f t="shared" si="0"/>
        <v>0.11059819768801657</v>
      </c>
      <c r="E18">
        <v>0.10218053596276329</v>
      </c>
      <c r="F18">
        <v>5.5978753433540425E-2</v>
      </c>
      <c r="G18">
        <v>0.28145748708432028</v>
      </c>
      <c r="H18">
        <f t="shared" si="1"/>
        <v>1.4232028117028783</v>
      </c>
      <c r="I18">
        <v>3.1177042509954529E-2</v>
      </c>
      <c r="J18">
        <v>0.4405935713150404</v>
      </c>
      <c r="K18">
        <v>9.9723605548033709E-2</v>
      </c>
      <c r="L18">
        <v>0.31263452959427479</v>
      </c>
      <c r="M18">
        <v>8.6170586642267434E-3</v>
      </c>
      <c r="N18">
        <v>4.5474866358956156E-3</v>
      </c>
      <c r="O18">
        <v>8.3239999999999998</v>
      </c>
      <c r="P18">
        <v>2.2196781204556544</v>
      </c>
      <c r="Q18">
        <v>4.2984416565393637</v>
      </c>
    </row>
    <row r="19" spans="1:17">
      <c r="A19">
        <v>485</v>
      </c>
      <c r="B19">
        <v>1.3599999999999999E-2</v>
      </c>
      <c r="C19" s="2">
        <v>3.2499999999999999E-3</v>
      </c>
      <c r="D19">
        <f t="shared" si="0"/>
        <v>0.10047448284161623</v>
      </c>
      <c r="E19">
        <v>9.7965861125475603E-2</v>
      </c>
      <c r="F19">
        <v>5.3584191246961003E-2</v>
      </c>
      <c r="G19">
        <v>0.26562453521405283</v>
      </c>
      <c r="H19">
        <f t="shared" si="1"/>
        <v>1.412221347482711</v>
      </c>
      <c r="I19">
        <v>3.0822021814071066E-2</v>
      </c>
      <c r="J19">
        <v>0.42091237170950679</v>
      </c>
      <c r="K19">
        <v>0.10397159650987946</v>
      </c>
      <c r="L19">
        <v>0.29644655702812389</v>
      </c>
      <c r="M19">
        <v>8.9302233633722066E-3</v>
      </c>
      <c r="N19">
        <v>4.7153009227451168E-3</v>
      </c>
      <c r="O19">
        <v>8.0139999999999993</v>
      </c>
      <c r="P19">
        <v>2.2669898564673048</v>
      </c>
      <c r="Q19">
        <v>4.2623534238409864</v>
      </c>
    </row>
    <row r="20" spans="1:17">
      <c r="A20">
        <v>490</v>
      </c>
      <c r="B20">
        <v>1.4999999999999999E-2</v>
      </c>
      <c r="C20" s="2">
        <v>3.0999999999999999E-3</v>
      </c>
      <c r="D20">
        <f t="shared" si="0"/>
        <v>9.1277452194720984E-2</v>
      </c>
      <c r="E20">
        <v>9.361856662098017E-2</v>
      </c>
      <c r="F20">
        <v>5.1294995826498324E-2</v>
      </c>
      <c r="G20">
        <v>0.25119101464219951</v>
      </c>
      <c r="H20">
        <f t="shared" si="1"/>
        <v>1.4014323439830352</v>
      </c>
      <c r="I20">
        <v>3.0463691791820985E-2</v>
      </c>
      <c r="J20">
        <v>0.40274713189884548</v>
      </c>
      <c r="K20">
        <v>0.10815971150461606</v>
      </c>
      <c r="L20">
        <v>0.28165470643402046</v>
      </c>
      <c r="M20">
        <v>9.2270638452077152E-3</v>
      </c>
      <c r="N20">
        <v>4.8745352002726805E-3</v>
      </c>
      <c r="O20">
        <v>7.99</v>
      </c>
      <c r="P20">
        <v>2.3867899931611447</v>
      </c>
      <c r="Q20">
        <v>4.3669728697757613</v>
      </c>
    </row>
    <row r="21" spans="1:17">
      <c r="A21">
        <v>495</v>
      </c>
      <c r="B21">
        <v>1.7299999999999999E-2</v>
      </c>
      <c r="C21" s="2">
        <v>3.0000000000000001E-3</v>
      </c>
      <c r="D21">
        <f t="shared" si="0"/>
        <v>8.2922280797335574E-2</v>
      </c>
      <c r="E21">
        <v>8.9023806476480394E-2</v>
      </c>
      <c r="F21">
        <v>4.9106530769112137E-2</v>
      </c>
      <c r="G21">
        <v>0.23835261804292812</v>
      </c>
      <c r="H21">
        <f t="shared" si="1"/>
        <v>1.3908804693840178</v>
      </c>
      <c r="I21">
        <v>3.012813405326021E-2</v>
      </c>
      <c r="J21">
        <v>0.38644598827138743</v>
      </c>
      <c r="K21">
        <v>0.11221710985995091</v>
      </c>
      <c r="L21">
        <v>0.26848075209618832</v>
      </c>
      <c r="M21">
        <v>9.5050522354541336E-3</v>
      </c>
      <c r="N21">
        <v>5.0238047577291448E-3</v>
      </c>
      <c r="O21">
        <v>8.1129999999999995</v>
      </c>
      <c r="P21">
        <v>2.5449977059285658</v>
      </c>
      <c r="Q21">
        <v>4.5439593295053218</v>
      </c>
    </row>
    <row r="22" spans="1:17">
      <c r="A22">
        <v>500</v>
      </c>
      <c r="B22">
        <v>2.0400000000000001E-2</v>
      </c>
      <c r="C22" s="2">
        <v>2.8999999999999998E-3</v>
      </c>
      <c r="D22">
        <f t="shared" si="0"/>
        <v>7.5331908234724423E-2</v>
      </c>
      <c r="E22">
        <v>8.51097883565088E-2</v>
      </c>
      <c r="F22">
        <v>4.7014363685171208E-2</v>
      </c>
      <c r="G22">
        <v>0.22785606027640443</v>
      </c>
      <c r="H22">
        <f t="shared" si="1"/>
        <v>1.3805105914851732</v>
      </c>
      <c r="I22">
        <v>2.9789365065863396E-2</v>
      </c>
      <c r="J22">
        <v>0.37280154647544661</v>
      </c>
      <c r="K22">
        <v>0.11562155635517246</v>
      </c>
      <c r="L22">
        <v>0.25764542534226781</v>
      </c>
      <c r="M22">
        <v>9.7234484259038512E-3</v>
      </c>
      <c r="N22">
        <v>5.1411761148317976E-3</v>
      </c>
      <c r="O22">
        <v>8.1189999999999998</v>
      </c>
      <c r="P22">
        <v>2.6532952404053356</v>
      </c>
      <c r="Q22">
        <v>4.6413472243359379</v>
      </c>
    </row>
    <row r="23" spans="1:17">
      <c r="A23">
        <v>505</v>
      </c>
      <c r="B23">
        <v>2.5600000000000001E-2</v>
      </c>
      <c r="C23" s="2">
        <v>2.7499999999999998E-3</v>
      </c>
      <c r="D23">
        <f t="shared" si="0"/>
        <v>6.8436327893036969E-2</v>
      </c>
      <c r="E23">
        <v>7.9821961631469804E-2</v>
      </c>
      <c r="F23">
        <v>4.5014257221349566E-2</v>
      </c>
      <c r="G23">
        <v>0.21887254674585632</v>
      </c>
      <c r="H23">
        <f t="shared" si="1"/>
        <v>1.3702677683268278</v>
      </c>
      <c r="I23">
        <v>2.9421410276473475E-2</v>
      </c>
      <c r="J23">
        <v>0.36076883069141508</v>
      </c>
      <c r="K23">
        <v>0.11849426634989559</v>
      </c>
      <c r="L23">
        <v>0.24829395702232979</v>
      </c>
      <c r="M23">
        <v>9.8907405879262202E-3</v>
      </c>
      <c r="N23">
        <v>5.2311428972594155E-3</v>
      </c>
      <c r="O23">
        <v>8.1080000000000005</v>
      </c>
      <c r="P23">
        <v>2.747097051582692</v>
      </c>
      <c r="Q23">
        <v>4.7194769725291028</v>
      </c>
    </row>
    <row r="24" spans="1:17">
      <c r="A24">
        <v>510</v>
      </c>
      <c r="B24">
        <v>3.2500000000000001E-2</v>
      </c>
      <c r="C24" s="2">
        <v>2.5999999999999999E-3</v>
      </c>
      <c r="D24">
        <f t="shared" si="0"/>
        <v>6.2171941282703196E-2</v>
      </c>
      <c r="E24">
        <v>7.4149314646053843E-2</v>
      </c>
      <c r="F24">
        <v>4.3102160478537987E-2</v>
      </c>
      <c r="G24">
        <v>0.21192341640729503</v>
      </c>
      <c r="H24">
        <f t="shared" si="1"/>
        <v>1.3601972393399526</v>
      </c>
      <c r="I24">
        <v>2.9050347224748658E-2</v>
      </c>
      <c r="J24">
        <v>0.35109010083705805</v>
      </c>
      <c r="K24">
        <v>0.12055398391464416</v>
      </c>
      <c r="L24">
        <v>0.2409737636320437</v>
      </c>
      <c r="M24">
        <v>9.9917723772096571E-3</v>
      </c>
      <c r="N24">
        <v>5.2855012289536049E-3</v>
      </c>
      <c r="O24">
        <v>8.0259999999999998</v>
      </c>
      <c r="P24">
        <v>2.7994304039702067</v>
      </c>
      <c r="Q24">
        <v>4.7400662888049236</v>
      </c>
    </row>
    <row r="25" spans="1:17">
      <c r="A25">
        <v>515</v>
      </c>
      <c r="B25">
        <v>3.9600000000000003E-2</v>
      </c>
      <c r="C25" s="2">
        <v>2.5000000000000001E-3</v>
      </c>
      <c r="D25">
        <f t="shared" si="0"/>
        <v>5.648097146447232E-2</v>
      </c>
      <c r="E25">
        <v>6.7826653562986602E-2</v>
      </c>
      <c r="F25">
        <v>4.1274200807388833E-2</v>
      </c>
      <c r="G25">
        <v>0.20518182583484776</v>
      </c>
      <c r="H25">
        <f t="shared" si="1"/>
        <v>1.3503444169897445</v>
      </c>
      <c r="I25">
        <v>2.8702239551288981E-2</v>
      </c>
      <c r="J25">
        <v>0.34172452439893353</v>
      </c>
      <c r="K25">
        <v>0.12271994461829754</v>
      </c>
      <c r="L25">
        <v>0.23388406538613674</v>
      </c>
      <c r="M25">
        <v>1.0098141116276507E-2</v>
      </c>
      <c r="N25">
        <v>5.3427515407773393E-3</v>
      </c>
      <c r="O25">
        <v>7.8940000000000001</v>
      </c>
      <c r="P25">
        <v>2.8318477223916205</v>
      </c>
      <c r="Q25">
        <v>4.7280657694832726</v>
      </c>
    </row>
    <row r="26" spans="1:17">
      <c r="A26">
        <v>520</v>
      </c>
      <c r="B26">
        <v>4.0899999999999999E-2</v>
      </c>
      <c r="C26" s="2">
        <v>2.3999999999999998E-3</v>
      </c>
      <c r="D26">
        <f t="shared" si="0"/>
        <v>5.1310930168076523E-2</v>
      </c>
      <c r="E26">
        <v>6.3109623877028981E-2</v>
      </c>
      <c r="F26">
        <v>3.9526675964877793E-2</v>
      </c>
      <c r="G26">
        <v>0.1948472300099833</v>
      </c>
      <c r="H26">
        <f t="shared" si="1"/>
        <v>1.3406548788809203</v>
      </c>
      <c r="I26">
        <v>2.8351108943759133E-2</v>
      </c>
      <c r="J26">
        <v>0.32803480008540375</v>
      </c>
      <c r="K26">
        <v>0.12702204271168371</v>
      </c>
      <c r="L26">
        <v>0.22319833895374244</v>
      </c>
      <c r="M26">
        <v>1.0346049402798872E-2</v>
      </c>
      <c r="N26">
        <v>5.4762637718501561E-3</v>
      </c>
      <c r="O26">
        <v>7.97</v>
      </c>
      <c r="P26">
        <v>2.978977415734799</v>
      </c>
      <c r="Q26">
        <v>4.8726224975270087</v>
      </c>
    </row>
    <row r="27" spans="1:17">
      <c r="A27">
        <v>525</v>
      </c>
      <c r="B27">
        <v>4.1700000000000001E-2</v>
      </c>
      <c r="C27" s="2">
        <v>2.3E-3</v>
      </c>
      <c r="D27">
        <f t="shared" si="0"/>
        <v>4.6614133688711729E-2</v>
      </c>
      <c r="E27">
        <v>5.9168157114961921E-2</v>
      </c>
      <c r="F27">
        <v>3.7856046615996446E-2</v>
      </c>
      <c r="G27">
        <v>0.1853383374196701</v>
      </c>
      <c r="H27">
        <f t="shared" si="1"/>
        <v>1.3311243602950604</v>
      </c>
      <c r="I27">
        <v>2.7996999322890827E-2</v>
      </c>
      <c r="J27">
        <v>0.3152540261304253</v>
      </c>
      <c r="K27">
        <v>0.13123470190349087</v>
      </c>
      <c r="L27">
        <v>0.21333533674256092</v>
      </c>
      <c r="M27">
        <v>1.0575436016177582E-2</v>
      </c>
      <c r="N27">
        <v>5.5999031378757176E-3</v>
      </c>
      <c r="O27">
        <v>8.1300000000000008</v>
      </c>
      <c r="P27">
        <v>3.157557687818112</v>
      </c>
      <c r="Q27">
        <v>5.0666501756053028</v>
      </c>
    </row>
    <row r="28" spans="1:17">
      <c r="A28">
        <v>530</v>
      </c>
      <c r="B28">
        <v>4.3400000000000001E-2</v>
      </c>
      <c r="C28" s="2">
        <v>2.2000000000000001E-3</v>
      </c>
      <c r="D28">
        <f t="shared" si="0"/>
        <v>4.2347263096410633E-2</v>
      </c>
      <c r="E28">
        <v>5.5986509783693822E-2</v>
      </c>
      <c r="F28">
        <v>3.6258929165389413E-2</v>
      </c>
      <c r="G28">
        <v>0.17799270204549389</v>
      </c>
      <c r="H28">
        <f t="shared" si="1"/>
        <v>1.3217487471324931</v>
      </c>
      <c r="I28">
        <v>2.7639953494381458E-2</v>
      </c>
      <c r="J28">
        <v>0.30501391692696389</v>
      </c>
      <c r="K28">
        <v>0.13441422239971826</v>
      </c>
      <c r="L28">
        <v>0.20563265553987534</v>
      </c>
      <c r="M28">
        <v>1.0725007614411166E-2</v>
      </c>
      <c r="N28">
        <v>5.6805751188810033E-3</v>
      </c>
      <c r="O28">
        <v>8.1630000000000003</v>
      </c>
      <c r="P28">
        <v>3.2692807209068757</v>
      </c>
      <c r="Q28">
        <v>5.1659595937988936</v>
      </c>
    </row>
    <row r="29" spans="1:17">
      <c r="A29">
        <v>535</v>
      </c>
      <c r="B29">
        <v>4.5199999999999997E-2</v>
      </c>
      <c r="C29" s="2">
        <v>2.15E-3</v>
      </c>
      <c r="D29">
        <f t="shared" si="0"/>
        <v>3.8470964702083311E-2</v>
      </c>
      <c r="E29">
        <v>5.2862779655913864E-2</v>
      </c>
      <c r="F29">
        <v>3.4732088904417383E-2</v>
      </c>
      <c r="G29">
        <v>0.17126583326241457</v>
      </c>
      <c r="H29">
        <f t="shared" si="1"/>
        <v>1.31257406923321</v>
      </c>
      <c r="I29">
        <v>2.7306012410589504E-2</v>
      </c>
      <c r="J29">
        <v>0.29557696848790549</v>
      </c>
      <c r="K29">
        <v>0.13751200386964912</v>
      </c>
      <c r="L29">
        <v>0.19857184567300407</v>
      </c>
      <c r="M29">
        <v>1.0865162145724879E-2</v>
      </c>
      <c r="N29">
        <v>5.7562059036045691E-3</v>
      </c>
      <c r="O29">
        <v>8.1329999999999991</v>
      </c>
      <c r="P29">
        <v>3.3507994317827912</v>
      </c>
      <c r="Q29">
        <v>5.22034977551212</v>
      </c>
    </row>
    <row r="30" spans="1:17">
      <c r="A30">
        <v>540</v>
      </c>
      <c r="B30" s="1">
        <v>4.7399999999999998E-2</v>
      </c>
      <c r="C30" s="2">
        <v>2.0999999999999999E-3</v>
      </c>
      <c r="D30">
        <f t="shared" si="0"/>
        <v>3.4949487095292039E-2</v>
      </c>
      <c r="E30">
        <v>5.0212298856249143E-2</v>
      </c>
      <c r="F30">
        <v>3.3272433459766736E-2</v>
      </c>
      <c r="G30">
        <v>0.16583421941130791</v>
      </c>
      <c r="H30">
        <f t="shared" si="1"/>
        <v>1.3035464940531383</v>
      </c>
      <c r="I30">
        <v>2.6969207469435253E-2</v>
      </c>
      <c r="J30">
        <v>0.2876769317202772</v>
      </c>
      <c r="K30">
        <v>0.13987929522703357</v>
      </c>
      <c r="L30">
        <v>0.19280342688074317</v>
      </c>
      <c r="M30">
        <v>1.0951155880711739E-2</v>
      </c>
      <c r="N30">
        <v>5.8026283875529956E-3</v>
      </c>
      <c r="O30">
        <v>8.0510000000000002</v>
      </c>
      <c r="P30">
        <v>3.3965680071285518</v>
      </c>
      <c r="Q30">
        <v>5.2293182180272773</v>
      </c>
    </row>
    <row r="31" spans="1:17">
      <c r="A31">
        <v>545</v>
      </c>
      <c r="B31" s="1">
        <v>5.11E-2</v>
      </c>
      <c r="C31" s="2">
        <v>2E-3</v>
      </c>
      <c r="D31">
        <f t="shared" si="0"/>
        <v>3.1750351406130424E-2</v>
      </c>
      <c r="E31">
        <v>4.7298578013713288E-2</v>
      </c>
      <c r="F31">
        <v>3.1877006530336739E-2</v>
      </c>
      <c r="G31">
        <v>0.16202593595018044</v>
      </c>
      <c r="H31">
        <f t="shared" si="1"/>
        <v>1.2946123206737676</v>
      </c>
      <c r="I31">
        <v>2.6603588653927618E-2</v>
      </c>
      <c r="J31">
        <v>0.28163418538961438</v>
      </c>
      <c r="K31">
        <v>0.14103618566479828</v>
      </c>
      <c r="L31">
        <v>0.18862952460410806</v>
      </c>
      <c r="M31">
        <v>1.0950809425618088E-2</v>
      </c>
      <c r="N31">
        <v>5.8024413309937777E-3</v>
      </c>
      <c r="O31">
        <v>7.9930000000000003</v>
      </c>
      <c r="P31">
        <v>3.4337865491932789</v>
      </c>
      <c r="Q31">
        <v>5.2389174347093768</v>
      </c>
    </row>
    <row r="32" spans="1:17">
      <c r="A32">
        <v>550</v>
      </c>
      <c r="B32" s="1">
        <v>5.6500000000000002E-2</v>
      </c>
      <c r="C32" s="2">
        <v>1.9E-3</v>
      </c>
      <c r="D32">
        <f t="shared" si="0"/>
        <v>2.8844051750005945E-2</v>
      </c>
      <c r="E32">
        <v>4.3028564434833216E-2</v>
      </c>
      <c r="F32">
        <v>3.0542981899719567E-2</v>
      </c>
      <c r="G32">
        <v>0.15891559808455874</v>
      </c>
      <c r="H32">
        <f t="shared" si="1"/>
        <v>1.2858179741246851</v>
      </c>
      <c r="I32">
        <v>2.623519392515156E-2</v>
      </c>
      <c r="J32">
        <v>0.27643028108501772</v>
      </c>
      <c r="K32">
        <v>0.14169636349044429</v>
      </c>
      <c r="L32">
        <v>0.1851507920097103</v>
      </c>
      <c r="M32">
        <v>1.0916164721788723E-2</v>
      </c>
      <c r="N32">
        <v>5.7837372437119731E-3</v>
      </c>
      <c r="O32">
        <v>7.9329999999999998</v>
      </c>
      <c r="P32">
        <v>3.4616329585222294</v>
      </c>
      <c r="Q32">
        <v>5.2403372276941154</v>
      </c>
    </row>
    <row r="33" spans="1:17">
      <c r="A33">
        <v>555</v>
      </c>
      <c r="B33" s="1">
        <v>5.96E-2</v>
      </c>
      <c r="C33" s="2">
        <v>1.8500000000000001E-3</v>
      </c>
      <c r="D33">
        <f t="shared" si="0"/>
        <v>2.6203783092503992E-2</v>
      </c>
      <c r="E33">
        <v>4.113318749509897E-2</v>
      </c>
      <c r="F33">
        <v>2.9267657712146216E-2</v>
      </c>
      <c r="G33">
        <v>0.15620462829974918</v>
      </c>
      <c r="H33">
        <f t="shared" si="1"/>
        <v>1.2772099999999997</v>
      </c>
      <c r="I33">
        <v>2.5890038424630803E-2</v>
      </c>
      <c r="J33">
        <v>0.27180210725327048</v>
      </c>
      <c r="K33">
        <v>0.14217900441762077</v>
      </c>
      <c r="L33">
        <v>0.18209466672437999</v>
      </c>
      <c r="M33">
        <v>1.0873189304363231E-2</v>
      </c>
      <c r="N33">
        <v>5.7605386648454261E-3</v>
      </c>
      <c r="O33">
        <v>7.9820000000000002</v>
      </c>
      <c r="P33">
        <v>3.5317118080636454</v>
      </c>
      <c r="Q33">
        <v>5.3094372255413305</v>
      </c>
    </row>
    <row r="34" spans="1:17">
      <c r="A34">
        <v>560</v>
      </c>
      <c r="B34" s="1">
        <v>6.1899999999999997E-2</v>
      </c>
      <c r="C34" s="2">
        <v>1.8E-3</v>
      </c>
      <c r="D34">
        <f t="shared" ref="D34:D65" si="2">CDOM440*EXP(-sCDOM*(Lambda-440))</f>
        <v>2.3805194024409435E-2</v>
      </c>
      <c r="E34">
        <v>3.6184753419600542E-2</v>
      </c>
      <c r="F34">
        <v>2.8048451000305258E-2</v>
      </c>
      <c r="G34">
        <v>0.14993839844431522</v>
      </c>
      <c r="H34">
        <f t="shared" ref="H34:H65" si="3">bw+bpstar555*(TSS^bpexp)*((555/Lambda)^eta-cphistar*bphin)</f>
        <v>1.2687350593509559</v>
      </c>
      <c r="I34">
        <v>2.554216935471711E-2</v>
      </c>
      <c r="J34">
        <v>0.26278856167667131</v>
      </c>
      <c r="K34">
        <v>0.14555554312981861</v>
      </c>
      <c r="L34">
        <v>0.17548056779903234</v>
      </c>
      <c r="M34">
        <v>1.0997322978628777E-2</v>
      </c>
      <c r="N34">
        <v>5.8275567390678479E-3</v>
      </c>
      <c r="O34">
        <v>7.9370000000000003</v>
      </c>
      <c r="P34">
        <v>3.6080580274917007</v>
      </c>
      <c r="Q34">
        <v>5.3513695970472481</v>
      </c>
    </row>
    <row r="35" spans="1:17">
      <c r="A35">
        <v>565</v>
      </c>
      <c r="B35" s="1">
        <v>6.4199999999999993E-2</v>
      </c>
      <c r="C35" s="2">
        <v>1.75E-3</v>
      </c>
      <c r="D35">
        <f t="shared" si="2"/>
        <v>2.1626162166709758E-2</v>
      </c>
      <c r="E35">
        <v>3.4646985889153388E-2</v>
      </c>
      <c r="F35">
        <v>2.6882892453951278E-2</v>
      </c>
      <c r="G35">
        <v>0.14735604050981443</v>
      </c>
      <c r="H35">
        <f t="shared" si="3"/>
        <v>1.2603899238382361</v>
      </c>
      <c r="I35">
        <v>2.5191621906902457E-2</v>
      </c>
      <c r="J35">
        <v>0.25829099495918645</v>
      </c>
      <c r="K35">
        <v>0.14599804804114125</v>
      </c>
      <c r="L35">
        <v>0.1725476624167169</v>
      </c>
      <c r="M35">
        <v>1.094399418715279E-2</v>
      </c>
      <c r="N35">
        <v>5.7987617221044226E-3</v>
      </c>
      <c r="O35">
        <v>8.0549999999999997</v>
      </c>
      <c r="P35">
        <v>3.7114403350584868</v>
      </c>
      <c r="Q35">
        <v>5.4676916426309292</v>
      </c>
    </row>
    <row r="36" spans="1:17">
      <c r="A36">
        <v>570</v>
      </c>
      <c r="B36" s="1">
        <v>6.9500000000000006E-2</v>
      </c>
      <c r="C36" s="2">
        <v>1.6999999999999999E-3</v>
      </c>
      <c r="D36">
        <f t="shared" si="2"/>
        <v>1.9646590134122257E-2</v>
      </c>
      <c r="E36">
        <v>3.2575780969434247E-2</v>
      </c>
      <c r="F36">
        <v>2.5768621418707834E-2</v>
      </c>
      <c r="G36">
        <v>0.14749099252226436</v>
      </c>
      <c r="H36">
        <f t="shared" si="3"/>
        <v>1.2521714711285949</v>
      </c>
      <c r="I36">
        <v>2.483843044009006E-2</v>
      </c>
      <c r="J36">
        <v>0.257137316479225</v>
      </c>
      <c r="K36">
        <v>0.14413342778682689</v>
      </c>
      <c r="L36">
        <v>0.17232942296235443</v>
      </c>
      <c r="M36">
        <v>1.0756857631953309E-2</v>
      </c>
      <c r="N36">
        <v>5.697758937526394E-3</v>
      </c>
      <c r="O36">
        <v>8.16</v>
      </c>
      <c r="P36">
        <v>3.7728557932483318</v>
      </c>
      <c r="Q36">
        <v>5.548558666257966</v>
      </c>
    </row>
    <row r="37" spans="1:17">
      <c r="A37">
        <v>575</v>
      </c>
      <c r="B37" s="1">
        <v>7.7200000000000005E-2</v>
      </c>
      <c r="C37" s="2">
        <v>1.65E-3</v>
      </c>
      <c r="D37">
        <f t="shared" si="2"/>
        <v>1.7848220175300532E-2</v>
      </c>
      <c r="E37">
        <v>3.1542856609732849E-2</v>
      </c>
      <c r="F37">
        <v>2.4703381114935533E-2</v>
      </c>
      <c r="G37">
        <v>0.15129445789996893</v>
      </c>
      <c r="H37">
        <f t="shared" si="3"/>
        <v>1.2440766805214794</v>
      </c>
      <c r="I37">
        <v>2.4482628509127309E-2</v>
      </c>
      <c r="J37">
        <v>0.26047947848221081</v>
      </c>
      <c r="K37">
        <v>0.13928225236449457</v>
      </c>
      <c r="L37">
        <v>0.17577708640909623</v>
      </c>
      <c r="M37">
        <v>1.0400288446758769E-2</v>
      </c>
      <c r="N37">
        <v>5.5054897507774521E-3</v>
      </c>
      <c r="O37">
        <v>8.2650000000000006</v>
      </c>
      <c r="P37">
        <v>3.7832797638579421</v>
      </c>
      <c r="Q37">
        <v>5.5918518621549609</v>
      </c>
    </row>
    <row r="38" spans="1:17">
      <c r="A38">
        <v>580</v>
      </c>
      <c r="B38" s="1">
        <v>8.9599999999999999E-2</v>
      </c>
      <c r="C38" s="2">
        <v>1.6000000000000001E-3</v>
      </c>
      <c r="D38">
        <f t="shared" si="2"/>
        <v>1.6214465780132026E-2</v>
      </c>
      <c r="E38">
        <v>3.1822382345225796E-2</v>
      </c>
      <c r="F38">
        <v>2.3685014066982087E-2</v>
      </c>
      <c r="G38">
        <v>0.1613218621923399</v>
      </c>
      <c r="H38">
        <f t="shared" si="3"/>
        <v>1.2361026287922694</v>
      </c>
      <c r="I38">
        <v>2.4124248892095201E-2</v>
      </c>
      <c r="J38">
        <v>0.27135331168309901</v>
      </c>
      <c r="K38">
        <v>0.13008765053644741</v>
      </c>
      <c r="L38">
        <v>0.18544611108443509</v>
      </c>
      <c r="M38">
        <v>9.7939497889273121E-3</v>
      </c>
      <c r="N38">
        <v>5.1790841636699435E-3</v>
      </c>
      <c r="O38">
        <v>8.3179999999999996</v>
      </c>
      <c r="P38">
        <v>3.6853367530081202</v>
      </c>
      <c r="Q38">
        <v>5.5366624523734096</v>
      </c>
    </row>
    <row r="39" spans="1:17">
      <c r="A39">
        <v>585</v>
      </c>
      <c r="B39" s="1">
        <v>0.11</v>
      </c>
      <c r="C39" s="2">
        <v>1.5499999999999999E-3</v>
      </c>
      <c r="D39">
        <f t="shared" si="2"/>
        <v>1.4730258701027347E-2</v>
      </c>
      <c r="E39">
        <v>3.2132350010079261E-2</v>
      </c>
      <c r="F39">
        <v>2.2711457733556789E-2</v>
      </c>
      <c r="G39">
        <v>0.17957406644466339</v>
      </c>
      <c r="H39">
        <f t="shared" si="3"/>
        <v>1.2282464862396394</v>
      </c>
      <c r="I39">
        <v>2.3763323616419276E-2</v>
      </c>
      <c r="J39">
        <v>0.29193150415780744</v>
      </c>
      <c r="K39">
        <v>0.1168664730538774</v>
      </c>
      <c r="L39">
        <v>0.20333739006108267</v>
      </c>
      <c r="M39">
        <v>8.9402828918559857E-3</v>
      </c>
      <c r="N39">
        <v>4.7206944888651282E-3</v>
      </c>
      <c r="O39">
        <v>8.375</v>
      </c>
      <c r="P39">
        <v>3.4884466990594691</v>
      </c>
      <c r="Q39">
        <v>5.4051587492527036</v>
      </c>
    </row>
    <row r="40" spans="1:17">
      <c r="A40">
        <v>590</v>
      </c>
      <c r="B40" s="1">
        <v>0.1351</v>
      </c>
      <c r="C40" s="2">
        <v>1.5E-3</v>
      </c>
      <c r="D40">
        <f t="shared" si="2"/>
        <v>1.3381909977266303E-2</v>
      </c>
      <c r="E40">
        <v>3.1751347538388444E-2</v>
      </c>
      <c r="F40">
        <v>2.178074033037954E-2</v>
      </c>
      <c r="G40">
        <v>0.20201399784603427</v>
      </c>
      <c r="H40">
        <f t="shared" si="3"/>
        <v>1.2205055129253748</v>
      </c>
      <c r="I40">
        <v>2.3399883983863442E-2</v>
      </c>
      <c r="J40">
        <v>0.31709579305187119</v>
      </c>
      <c r="K40">
        <v>0.10380853119561426</v>
      </c>
      <c r="L40">
        <v>0.22541388182989772</v>
      </c>
      <c r="M40">
        <v>8.0727395958396387E-3</v>
      </c>
      <c r="N40">
        <v>4.2562357101659735E-3</v>
      </c>
      <c r="O40">
        <v>8.3870000000000005</v>
      </c>
      <c r="P40">
        <v>3.2394239113192884</v>
      </c>
      <c r="Q40">
        <v>5.2123937249823014</v>
      </c>
    </row>
    <row r="41" spans="1:17">
      <c r="A41">
        <v>595</v>
      </c>
      <c r="B41" s="1">
        <v>0.16719999999999999</v>
      </c>
      <c r="C41" s="2">
        <v>1.4499999999999999E-3</v>
      </c>
      <c r="D41">
        <f t="shared" si="2"/>
        <v>1.2156983680617239E-2</v>
      </c>
      <c r="E41">
        <v>3.0804015285777791E-2</v>
      </c>
      <c r="F41">
        <v>2.0890976836643847E-2</v>
      </c>
      <c r="G41">
        <v>0.23105197580303885</v>
      </c>
      <c r="H41">
        <f t="shared" si="3"/>
        <v>1.2128770550957313</v>
      </c>
      <c r="I41">
        <v>2.3033960594464269E-2</v>
      </c>
      <c r="J41">
        <v>0.34952231755979107</v>
      </c>
      <c r="K41">
        <v>9.0654212984180818E-2</v>
      </c>
      <c r="L41">
        <v>0.2540859363975031</v>
      </c>
      <c r="M41">
        <v>7.1689596603291975E-3</v>
      </c>
      <c r="N41">
        <v>3.7738518289652319E-3</v>
      </c>
      <c r="O41">
        <v>8.3689999999999998</v>
      </c>
      <c r="P41">
        <v>2.9328288948741066</v>
      </c>
      <c r="Q41">
        <v>4.9542754284760342</v>
      </c>
    </row>
    <row r="42" spans="1:17">
      <c r="A42">
        <v>600</v>
      </c>
      <c r="B42" s="1">
        <v>0.22239999999999999</v>
      </c>
      <c r="C42" s="2">
        <v>1.4E-3</v>
      </c>
      <c r="D42">
        <f t="shared" si="2"/>
        <v>1.1044182217775258E-2</v>
      </c>
      <c r="E42">
        <v>2.9230290429208466E-2</v>
      </c>
      <c r="F42">
        <v>2.0040365177205498E-2</v>
      </c>
      <c r="G42">
        <v>0.28271483782418921</v>
      </c>
      <c r="H42">
        <f t="shared" si="3"/>
        <v>1.2053585417741317</v>
      </c>
      <c r="I42">
        <v>2.2665583369459834E-2</v>
      </c>
      <c r="J42">
        <v>0.40733322985188503</v>
      </c>
      <c r="K42">
        <v>7.4220813766862431E-2</v>
      </c>
      <c r="L42">
        <v>0.30538042119364905</v>
      </c>
      <c r="M42">
        <v>5.9925180669004596E-3</v>
      </c>
      <c r="N42">
        <v>3.1481807962977001E-3</v>
      </c>
      <c r="O42">
        <v>8.359</v>
      </c>
      <c r="P42">
        <v>2.4628990043492851</v>
      </c>
      <c r="Q42">
        <v>4.5373310191516412</v>
      </c>
    </row>
    <row r="43" spans="1:17">
      <c r="A43">
        <v>605</v>
      </c>
      <c r="B43" s="1">
        <v>0.25569999999999998</v>
      </c>
      <c r="C43" s="2">
        <v>1.3500000000000001E-3</v>
      </c>
      <c r="D43">
        <f t="shared" si="2"/>
        <v>1.0033242131754699E-2</v>
      </c>
      <c r="E43">
        <v>2.9461274365112554E-2</v>
      </c>
      <c r="F43">
        <v>1.9227182572764567E-2</v>
      </c>
      <c r="G43">
        <v>0.3144216990696318</v>
      </c>
      <c r="H43">
        <f t="shared" si="3"/>
        <v>1.1979474815156446</v>
      </c>
      <c r="I43">
        <v>2.2294781573263988E-2</v>
      </c>
      <c r="J43">
        <v>0.44180290413990653</v>
      </c>
      <c r="K43">
        <v>6.6212326556444059E-2</v>
      </c>
      <c r="L43">
        <v>0.33671648064289578</v>
      </c>
      <c r="M43">
        <v>5.37859893116561E-3</v>
      </c>
      <c r="N43">
        <v>2.8226809611674032E-3</v>
      </c>
      <c r="O43">
        <v>8.3320000000000007</v>
      </c>
      <c r="P43">
        <v>2.2137652768406126</v>
      </c>
      <c r="Q43">
        <v>4.2947749983713912</v>
      </c>
    </row>
    <row r="44" spans="1:17">
      <c r="A44">
        <v>610</v>
      </c>
      <c r="B44" s="1">
        <v>0.26440000000000002</v>
      </c>
      <c r="C44" s="2">
        <v>1.2999999999999999E-3</v>
      </c>
      <c r="D44">
        <f t="shared" si="2"/>
        <v>9.1148394412036201E-3</v>
      </c>
      <c r="E44">
        <v>3.1975172637601156E-2</v>
      </c>
      <c r="F44">
        <v>1.8449782050648553E-2</v>
      </c>
      <c r="G44">
        <v>0.32393979412945334</v>
      </c>
      <c r="H44">
        <f t="shared" si="3"/>
        <v>1.1906414593143022</v>
      </c>
      <c r="I44">
        <v>2.1921583834534034E-2</v>
      </c>
      <c r="J44">
        <v>0.4510283514523129</v>
      </c>
      <c r="K44">
        <v>6.3382572415520214E-2</v>
      </c>
      <c r="L44">
        <v>0.34586137796398736</v>
      </c>
      <c r="M44">
        <v>5.1443693126098766E-3</v>
      </c>
      <c r="N44">
        <v>2.6986730933355424E-3</v>
      </c>
      <c r="O44">
        <v>8.34</v>
      </c>
      <c r="P44">
        <v>2.155403967735364</v>
      </c>
      <c r="Q44">
        <v>4.2398194644245102</v>
      </c>
    </row>
    <row r="45" spans="1:17">
      <c r="A45">
        <v>615</v>
      </c>
      <c r="B45" s="1">
        <v>0.26779999999999998</v>
      </c>
      <c r="C45" s="2">
        <v>1.25E-3</v>
      </c>
      <c r="D45">
        <f t="shared" si="2"/>
        <v>8.2805036445772803E-3</v>
      </c>
      <c r="E45">
        <v>3.4584981012915322E-2</v>
      </c>
      <c r="F45">
        <v>1.7706589109129908E-2</v>
      </c>
      <c r="G45">
        <v>0.32837207376662247</v>
      </c>
      <c r="H45">
        <f t="shared" si="3"/>
        <v>1.183438133654872</v>
      </c>
      <c r="I45">
        <v>2.1546018166376787E-2</v>
      </c>
      <c r="J45">
        <v>0.45448649537671432</v>
      </c>
      <c r="K45">
        <v>6.1574461747186025E-2</v>
      </c>
      <c r="L45">
        <v>0.34991809193299928</v>
      </c>
      <c r="M45">
        <v>4.9873060014389492E-3</v>
      </c>
      <c r="N45">
        <v>2.6155750652222484E-3</v>
      </c>
      <c r="O45">
        <v>8.3230000000000004</v>
      </c>
      <c r="P45">
        <v>2.1288103033157579</v>
      </c>
      <c r="Q45">
        <v>4.2092859435416177</v>
      </c>
    </row>
    <row r="46" spans="1:17">
      <c r="A46">
        <v>620</v>
      </c>
      <c r="B46" s="1">
        <v>0.27550000000000002</v>
      </c>
      <c r="C46" s="2">
        <v>1.1999999999999999E-3</v>
      </c>
      <c r="D46">
        <f t="shared" si="2"/>
        <v>7.5225395960242377E-3</v>
      </c>
      <c r="E46">
        <v>3.6644978455933057E-2</v>
      </c>
      <c r="F46">
        <v>1.699609852852195E-2</v>
      </c>
      <c r="G46">
        <v>0.33666361658047927</v>
      </c>
      <c r="H46">
        <f t="shared" si="3"/>
        <v>1.1763352337012256</v>
      </c>
      <c r="I46">
        <v>2.1168111985735708E-2</v>
      </c>
      <c r="J46">
        <v>0.46228010444530626</v>
      </c>
      <c r="K46">
        <v>5.9156609925434978E-2</v>
      </c>
      <c r="L46">
        <v>0.35783172856621498</v>
      </c>
      <c r="M46">
        <v>4.7850740436257838E-3</v>
      </c>
      <c r="N46">
        <v>2.5086453944199584E-3</v>
      </c>
      <c r="O46">
        <v>8.3049999999999997</v>
      </c>
      <c r="P46">
        <v>2.0751167760826736</v>
      </c>
      <c r="Q46">
        <v>4.1513666214111469</v>
      </c>
    </row>
    <row r="47" spans="1:17">
      <c r="A47">
        <v>625</v>
      </c>
      <c r="B47" s="1">
        <v>0.28339999999999999</v>
      </c>
      <c r="C47" s="2">
        <v>1.15E-3</v>
      </c>
      <c r="D47">
        <f t="shared" si="2"/>
        <v>6.8339565324400412E-3</v>
      </c>
      <c r="E47">
        <v>3.7246285807916106E-2</v>
      </c>
      <c r="F47">
        <v>1.63168713225946E-2</v>
      </c>
      <c r="G47">
        <v>0.34379711366295074</v>
      </c>
      <c r="H47">
        <f t="shared" si="3"/>
        <v>1.1693305566139276</v>
      </c>
      <c r="I47">
        <v>2.0787892131998838E-2</v>
      </c>
      <c r="J47">
        <v>0.46874689460479879</v>
      </c>
      <c r="K47">
        <v>5.7017956859395348E-2</v>
      </c>
      <c r="L47">
        <v>0.36458500579494957</v>
      </c>
      <c r="M47">
        <v>4.6044061310937965E-3</v>
      </c>
      <c r="N47">
        <v>2.4131803341227529E-3</v>
      </c>
      <c r="O47">
        <v>8.2889999999999997</v>
      </c>
      <c r="P47">
        <v>2.0313257339255721</v>
      </c>
      <c r="Q47">
        <v>4.1033716634627515</v>
      </c>
    </row>
    <row r="48" spans="1:17">
      <c r="A48">
        <v>630</v>
      </c>
      <c r="B48" s="1">
        <v>0.29160000000000003</v>
      </c>
      <c r="C48" s="2">
        <v>1.1000000000000001E-3</v>
      </c>
      <c r="D48">
        <f t="shared" si="2"/>
        <v>6.2084035970994484E-3</v>
      </c>
      <c r="E48">
        <v>3.7764119966650807E-2</v>
      </c>
      <c r="F48">
        <v>1.5667531824135526E-2</v>
      </c>
      <c r="G48">
        <v>0.35124005538788583</v>
      </c>
      <c r="H48">
        <f t="shared" si="3"/>
        <v>1.1624219649901359</v>
      </c>
      <c r="I48">
        <v>2.040538488486569E-2</v>
      </c>
      <c r="J48">
        <v>0.47554261139508797</v>
      </c>
      <c r="K48">
        <v>5.490551658562022E-2</v>
      </c>
      <c r="L48">
        <v>0.37164544027275154</v>
      </c>
      <c r="M48">
        <v>4.4263039849887029E-3</v>
      </c>
      <c r="N48">
        <v>2.3191288600293712E-3</v>
      </c>
      <c r="O48">
        <v>8.2710000000000008</v>
      </c>
      <c r="P48">
        <v>1.9860099715354613</v>
      </c>
      <c r="Q48">
        <v>4.0529357846590415</v>
      </c>
    </row>
    <row r="49" spans="1:17">
      <c r="A49">
        <v>635</v>
      </c>
      <c r="B49" s="1">
        <v>0.30120000000000002</v>
      </c>
      <c r="C49" s="2">
        <v>1.0499999999999999E-3</v>
      </c>
      <c r="D49">
        <f t="shared" si="2"/>
        <v>5.6401112651963663E-3</v>
      </c>
      <c r="E49">
        <v>3.8548870322400307E-2</v>
      </c>
      <c r="F49">
        <v>1.5046764898753879E-2</v>
      </c>
      <c r="G49">
        <v>0.36043574648635057</v>
      </c>
      <c r="H49">
        <f t="shared" si="3"/>
        <v>1.1556073844193036</v>
      </c>
      <c r="I49">
        <v>2.0020615981508359E-2</v>
      </c>
      <c r="J49">
        <v>0.48428885317150122</v>
      </c>
      <c r="K49">
        <v>5.2622634174503281E-2</v>
      </c>
      <c r="L49">
        <v>0.38045636246785891</v>
      </c>
      <c r="M49">
        <v>4.2358695915792081E-3</v>
      </c>
      <c r="N49">
        <v>2.2186284831970647E-3</v>
      </c>
      <c r="O49">
        <v>8.2669999999999995</v>
      </c>
      <c r="P49">
        <v>1.9336417204783167</v>
      </c>
      <c r="Q49">
        <v>3.9981765972996044</v>
      </c>
    </row>
    <row r="50" spans="1:17">
      <c r="A50">
        <v>640</v>
      </c>
      <c r="B50" s="1">
        <v>0.31080000000000002</v>
      </c>
      <c r="C50" s="2">
        <v>1E-3</v>
      </c>
      <c r="D50">
        <f t="shared" si="2"/>
        <v>5.1238381310546414E-3</v>
      </c>
      <c r="E50">
        <v>3.7948793113600651E-2</v>
      </c>
      <c r="F50">
        <v>1.4453313281283752E-2</v>
      </c>
      <c r="G50">
        <v>0.36832594452593909</v>
      </c>
      <c r="H50">
        <f t="shared" si="3"/>
        <v>1.1488848011485913</v>
      </c>
      <c r="I50">
        <v>1.9633610633060759E-2</v>
      </c>
      <c r="J50">
        <v>0.49154830632610136</v>
      </c>
      <c r="K50">
        <v>5.0607364535754755E-2</v>
      </c>
      <c r="L50">
        <v>0.38795955515899982</v>
      </c>
      <c r="M50">
        <v>4.0662518645214005E-3</v>
      </c>
      <c r="N50">
        <v>2.1291691240158269E-3</v>
      </c>
      <c r="O50">
        <v>8.2629999999999999</v>
      </c>
      <c r="P50">
        <v>1.891069985435863</v>
      </c>
      <c r="Q50">
        <v>3.9529623435667252</v>
      </c>
    </row>
    <row r="51" spans="1:17">
      <c r="A51">
        <v>645</v>
      </c>
      <c r="B51" s="1">
        <v>0.32500000000000001</v>
      </c>
      <c r="C51" s="2">
        <v>1E-3</v>
      </c>
      <c r="D51">
        <f t="shared" si="2"/>
        <v>4.6548225662238745E-3</v>
      </c>
      <c r="E51">
        <v>3.7980021968460641E-2</v>
      </c>
      <c r="F51">
        <v>1.3885975029392532E-2</v>
      </c>
      <c r="G51">
        <v>0.38152081956407702</v>
      </c>
      <c r="H51">
        <f t="shared" si="3"/>
        <v>1.1423022598522452</v>
      </c>
      <c r="I51">
        <v>1.9270215136283193E-2</v>
      </c>
      <c r="J51">
        <v>0.50484606375070307</v>
      </c>
      <c r="K51">
        <v>4.808045457077155E-2</v>
      </c>
      <c r="L51">
        <v>0.4007910347003602</v>
      </c>
      <c r="M51">
        <v>3.8592090959338786E-3</v>
      </c>
      <c r="N51">
        <v>2.0200415263612027E-3</v>
      </c>
      <c r="O51">
        <v>8.2390000000000008</v>
      </c>
      <c r="P51">
        <v>1.8118361635778102</v>
      </c>
      <c r="Q51">
        <v>3.8636405308617388</v>
      </c>
    </row>
    <row r="52" spans="1:17">
      <c r="A52">
        <v>650</v>
      </c>
      <c r="B52" s="1">
        <v>0.34</v>
      </c>
      <c r="C52" s="2">
        <v>1E-3</v>
      </c>
      <c r="D52">
        <f t="shared" si="2"/>
        <v>4.2287388025989796E-3</v>
      </c>
      <c r="E52">
        <v>3.9583187923802228E-2</v>
      </c>
      <c r="F52">
        <v>1.3343601089236929E-2</v>
      </c>
      <c r="G52">
        <v>0.39715552781563818</v>
      </c>
      <c r="H52">
        <f t="shared" si="3"/>
        <v>1.1358078614995486</v>
      </c>
      <c r="I52">
        <v>1.8904609307849714E-2</v>
      </c>
      <c r="J52">
        <v>0.52084992828176735</v>
      </c>
      <c r="K52">
        <v>4.5437203954578252E-2</v>
      </c>
      <c r="L52">
        <v>0.41606013712348788</v>
      </c>
      <c r="M52">
        <v>3.6432605524876881E-3</v>
      </c>
      <c r="N52">
        <v>1.906302252147422E-3</v>
      </c>
      <c r="O52">
        <v>8.2129999999999992</v>
      </c>
      <c r="P52">
        <v>1.7214526182862979</v>
      </c>
      <c r="Q52">
        <v>3.7600918012709958</v>
      </c>
    </row>
    <row r="53" spans="1:17">
      <c r="A53">
        <v>655</v>
      </c>
      <c r="B53" s="1">
        <v>0.371</v>
      </c>
      <c r="C53" s="2">
        <v>8.9999999999999998E-4</v>
      </c>
      <c r="D53">
        <f t="shared" si="2"/>
        <v>3.8416570355146442E-3</v>
      </c>
      <c r="E53">
        <v>4.4775435431175674E-2</v>
      </c>
      <c r="F53">
        <v>1.2825092968236277E-2</v>
      </c>
      <c r="G53">
        <v>0.43244218543492657</v>
      </c>
      <c r="H53">
        <f t="shared" si="3"/>
        <v>1.129299761316271</v>
      </c>
      <c r="I53">
        <v>1.8485218979890475E-2</v>
      </c>
      <c r="J53">
        <v>0.55858986881983297</v>
      </c>
      <c r="K53">
        <v>4.0993780371098396E-2</v>
      </c>
      <c r="L53">
        <v>0.45092740441481705</v>
      </c>
      <c r="M53">
        <v>3.285334613787425E-3</v>
      </c>
      <c r="N53">
        <v>1.7179689741610418E-3</v>
      </c>
      <c r="O53">
        <v>8.2070000000000007</v>
      </c>
      <c r="P53">
        <v>1.5360556156693916</v>
      </c>
      <c r="Q53">
        <v>3.5505504415229336</v>
      </c>
    </row>
    <row r="54" spans="1:17">
      <c r="A54">
        <v>660</v>
      </c>
      <c r="B54" s="1">
        <v>0.41</v>
      </c>
      <c r="C54" s="2">
        <v>8.0000000000000004E-4</v>
      </c>
      <c r="D54">
        <f t="shared" si="2"/>
        <v>3.4900071788422334E-3</v>
      </c>
      <c r="E54">
        <v>5.8216685910208392E-2</v>
      </c>
      <c r="F54">
        <v>1.2329400510249644E-2</v>
      </c>
      <c r="G54">
        <v>0.48403609359930028</v>
      </c>
      <c r="H54">
        <f t="shared" si="3"/>
        <v>1.1228761668348353</v>
      </c>
      <c r="I54">
        <v>1.8063711470393037E-2</v>
      </c>
      <c r="J54">
        <v>0.61446423659244609</v>
      </c>
      <c r="K54">
        <v>3.5976336353856435E-2</v>
      </c>
      <c r="L54">
        <v>0.50209980506969332</v>
      </c>
      <c r="M54">
        <v>2.878229232835101E-3</v>
      </c>
      <c r="N54">
        <v>1.504038445691136E-3</v>
      </c>
      <c r="O54">
        <v>8.2010000000000005</v>
      </c>
      <c r="P54">
        <v>1.2980503244290913</v>
      </c>
      <c r="Q54">
        <v>3.262715235910572</v>
      </c>
    </row>
    <row r="55" spans="1:17">
      <c r="A55">
        <v>665</v>
      </c>
      <c r="B55" s="1">
        <v>0.42899999999999999</v>
      </c>
      <c r="C55" s="2">
        <v>8.0000000000000004E-4</v>
      </c>
      <c r="D55">
        <f t="shared" si="2"/>
        <v>3.1705459377996299E-3</v>
      </c>
      <c r="E55">
        <v>7.6758007544860021E-2</v>
      </c>
      <c r="F55">
        <v>1.1855519768650758E-2</v>
      </c>
      <c r="G55">
        <v>0.52078407325131038</v>
      </c>
      <c r="H55">
        <f t="shared" si="3"/>
        <v>1.1166353360287065</v>
      </c>
      <c r="I55">
        <v>1.7691659003319309E-2</v>
      </c>
      <c r="J55">
        <v>0.65391463573092412</v>
      </c>
      <c r="K55">
        <v>3.2855072092558918E-2</v>
      </c>
      <c r="L55">
        <v>0.53847573225462964</v>
      </c>
      <c r="M55">
        <v>2.6209624200053926E-3</v>
      </c>
      <c r="N55">
        <v>1.3690002252464992E-3</v>
      </c>
      <c r="O55">
        <v>8.18</v>
      </c>
      <c r="P55">
        <v>1.1502142661621189</v>
      </c>
      <c r="Q55">
        <v>3.0673690187530633</v>
      </c>
    </row>
    <row r="56" spans="1:17">
      <c r="A56">
        <v>670</v>
      </c>
      <c r="B56" s="1">
        <v>0.439</v>
      </c>
      <c r="C56" s="2">
        <v>8.0000000000000004E-4</v>
      </c>
      <c r="D56">
        <f t="shared" si="2"/>
        <v>2.8803268957837739E-3</v>
      </c>
      <c r="E56">
        <v>9.3944430022487396E-2</v>
      </c>
      <c r="F56">
        <v>1.1402490972993026E-2</v>
      </c>
      <c r="G56">
        <v>0.5472272478912642</v>
      </c>
      <c r="H56">
        <f t="shared" si="3"/>
        <v>1.1104755755267579</v>
      </c>
      <c r="I56">
        <v>1.731748605243676E-2</v>
      </c>
      <c r="J56">
        <v>0.68184236798874054</v>
      </c>
      <c r="K56">
        <v>3.0675135221726716E-2</v>
      </c>
      <c r="L56">
        <v>0.56454473394370097</v>
      </c>
      <c r="M56">
        <v>2.4394588767769473E-3</v>
      </c>
      <c r="N56">
        <v>1.2738011714012126E-3</v>
      </c>
      <c r="O56">
        <v>8.157</v>
      </c>
      <c r="P56">
        <v>1.0547980748390504</v>
      </c>
      <c r="Q56">
        <v>2.9332555116222201</v>
      </c>
    </row>
    <row r="57" spans="1:17">
      <c r="A57">
        <v>675</v>
      </c>
      <c r="B57" s="1">
        <v>0.44800000000000001</v>
      </c>
      <c r="C57" s="2">
        <v>7.5000000000000002E-4</v>
      </c>
      <c r="D57">
        <f t="shared" si="2"/>
        <v>2.6166733393344368E-3</v>
      </c>
      <c r="E57">
        <v>9.9599980170874763E-2</v>
      </c>
      <c r="F57">
        <v>1.0969396585146351E-2</v>
      </c>
      <c r="G57">
        <v>0.5611860500953556</v>
      </c>
      <c r="H57">
        <f t="shared" si="3"/>
        <v>1.1043452389036224</v>
      </c>
      <c r="I57">
        <v>1.6915464810201803E-2</v>
      </c>
      <c r="J57">
        <v>0.69572697680748985</v>
      </c>
      <c r="K57">
        <v>2.9260371014535793E-2</v>
      </c>
      <c r="L57">
        <v>0.57810151490555739</v>
      </c>
      <c r="M57">
        <v>2.3200806489341004E-3</v>
      </c>
      <c r="N57">
        <v>1.2112191518426066E-3</v>
      </c>
      <c r="O57">
        <v>8.1359999999999992</v>
      </c>
      <c r="P57">
        <v>1.009159421427809</v>
      </c>
      <c r="Q57">
        <v>2.8654006792657558</v>
      </c>
    </row>
    <row r="58" spans="1:17">
      <c r="A58">
        <v>680</v>
      </c>
      <c r="B58" s="1">
        <v>0.46500000000000002</v>
      </c>
      <c r="C58" s="2">
        <v>6.9999999999999999E-4</v>
      </c>
      <c r="D58">
        <f t="shared" si="2"/>
        <v>2.3771535705916741E-3</v>
      </c>
      <c r="E58">
        <v>9.1532048989564532E-2</v>
      </c>
      <c r="F58">
        <v>1.055535944096888E-2</v>
      </c>
      <c r="G58">
        <v>0.56946456200112505</v>
      </c>
      <c r="H58">
        <f t="shared" si="3"/>
        <v>1.0982927250422554</v>
      </c>
      <c r="I58">
        <v>1.6511391077251414E-2</v>
      </c>
      <c r="J58">
        <v>0.70326860538440483</v>
      </c>
      <c r="K58">
        <v>2.8177591572674916E-2</v>
      </c>
      <c r="L58">
        <v>0.58597595307837647</v>
      </c>
      <c r="M58">
        <v>2.2280750041948562E-3</v>
      </c>
      <c r="N58">
        <v>1.1630041449721439E-3</v>
      </c>
      <c r="O58">
        <v>8.1140000000000008</v>
      </c>
      <c r="P58">
        <v>0.9839159016659198</v>
      </c>
      <c r="Q58">
        <v>2.8255076758199182</v>
      </c>
    </row>
    <row r="59" spans="1:17">
      <c r="A59">
        <v>685</v>
      </c>
      <c r="B59" s="1">
        <v>0.48599999999999999</v>
      </c>
      <c r="C59" s="2">
        <v>6.9999999999999999E-4</v>
      </c>
      <c r="D59">
        <f t="shared" si="2"/>
        <v>2.159558479551777E-3</v>
      </c>
      <c r="E59">
        <v>7.072713774288808E-2</v>
      </c>
      <c r="F59">
        <v>1.0159540973749851E-2</v>
      </c>
      <c r="G59">
        <v>0.56904623719618974</v>
      </c>
      <c r="H59">
        <f t="shared" si="3"/>
        <v>1.0923664765651608</v>
      </c>
      <c r="I59">
        <v>1.61310083071722E-2</v>
      </c>
      <c r="J59">
        <v>0.70121405762149769</v>
      </c>
      <c r="K59">
        <v>2.756602111774957E-2</v>
      </c>
      <c r="L59">
        <v>0.58517724550336192</v>
      </c>
      <c r="M59">
        <v>2.1747510352749838E-3</v>
      </c>
      <c r="N59">
        <v>1.1350669680515819E-3</v>
      </c>
      <c r="O59">
        <v>8.1020000000000003</v>
      </c>
      <c r="P59">
        <v>0.98853500171183695</v>
      </c>
      <c r="Q59">
        <v>2.8300372053860534</v>
      </c>
    </row>
    <row r="60" spans="1:17">
      <c r="A60">
        <v>690</v>
      </c>
      <c r="B60" s="1">
        <v>0.51600000000000001</v>
      </c>
      <c r="C60" s="2">
        <v>6.9999999999999999E-4</v>
      </c>
      <c r="D60">
        <f t="shared" si="2"/>
        <v>1.9618811692688359E-3</v>
      </c>
      <c r="E60">
        <v>4.5962893077188247E-2</v>
      </c>
      <c r="F60">
        <v>9.7811395158254183E-3</v>
      </c>
      <c r="G60">
        <v>0.57370591376228253</v>
      </c>
      <c r="H60">
        <f t="shared" si="3"/>
        <v>1.0865149783309174</v>
      </c>
      <c r="I60">
        <v>1.574858748250928E-2</v>
      </c>
      <c r="J60">
        <v>0.70481134104915755</v>
      </c>
      <c r="K60">
        <v>2.6717223211039868E-2</v>
      </c>
      <c r="L60">
        <v>0.58945450124479182</v>
      </c>
      <c r="M60">
        <v>2.1025400289689925E-3</v>
      </c>
      <c r="N60">
        <v>1.0972427094847928E-3</v>
      </c>
      <c r="O60">
        <v>8.0890000000000004</v>
      </c>
      <c r="P60">
        <v>0.97635511724338331</v>
      </c>
      <c r="Q60">
        <v>2.8102911848030496</v>
      </c>
    </row>
    <row r="61" spans="1:17">
      <c r="A61">
        <v>695</v>
      </c>
      <c r="B61" s="1">
        <v>0.55900000000000005</v>
      </c>
      <c r="C61" s="2">
        <v>6.9999999999999999E-4</v>
      </c>
      <c r="D61">
        <f t="shared" si="2"/>
        <v>1.7822984460835356E-3</v>
      </c>
      <c r="E61">
        <v>2.7423415685283278E-2</v>
      </c>
      <c r="F61">
        <v>9.4193886749276909E-3</v>
      </c>
      <c r="G61">
        <v>0.59762510280629455</v>
      </c>
      <c r="H61">
        <f t="shared" si="3"/>
        <v>1.080736755992838</v>
      </c>
      <c r="I61">
        <v>1.5364148085829431E-2</v>
      </c>
      <c r="J61">
        <v>0.72986520296607271</v>
      </c>
      <c r="K61">
        <v>2.5064302617817467E-2</v>
      </c>
      <c r="L61">
        <v>0.61298925089212397</v>
      </c>
      <c r="M61">
        <v>1.9660684661587692E-3</v>
      </c>
      <c r="N61">
        <v>1.0257840974064567E-3</v>
      </c>
      <c r="O61">
        <v>8.0519999999999996</v>
      </c>
      <c r="P61">
        <v>0.90151815208185726</v>
      </c>
      <c r="Q61">
        <v>2.6942576269843079</v>
      </c>
    </row>
    <row r="62" spans="1:17">
      <c r="A62">
        <v>700</v>
      </c>
      <c r="B62" s="1">
        <v>0.624</v>
      </c>
      <c r="C62" s="2">
        <v>6.9999999999999999E-4</v>
      </c>
      <c r="D62">
        <f t="shared" si="2"/>
        <v>1.6191540041620629E-3</v>
      </c>
      <c r="E62">
        <v>1.5635406783160485E-2</v>
      </c>
      <c r="F62">
        <v>9.0735557819784565E-3</v>
      </c>
      <c r="G62">
        <v>0.6503281165693009</v>
      </c>
      <c r="H62">
        <f t="shared" si="3"/>
        <v>1.0750303746167722</v>
      </c>
      <c r="I62">
        <v>1.4977709229126498E-2</v>
      </c>
      <c r="J62">
        <v>0.78697942223741657</v>
      </c>
      <c r="K62">
        <v>2.2512517775042609E-2</v>
      </c>
      <c r="L62">
        <v>0.66530582579842734</v>
      </c>
      <c r="M62">
        <v>1.7575052610546149E-3</v>
      </c>
      <c r="N62">
        <v>9.1664143940723992E-4</v>
      </c>
      <c r="O62">
        <v>8.0129999999999999</v>
      </c>
      <c r="P62">
        <v>0.75587969889071394</v>
      </c>
      <c r="Q62">
        <v>2.4610696916607808</v>
      </c>
    </row>
    <row r="63" spans="1:17">
      <c r="A63">
        <v>705</v>
      </c>
      <c r="B63" s="1">
        <v>0.70399999999999996</v>
      </c>
      <c r="C63" s="2">
        <v>6.9999999999999999E-4</v>
      </c>
      <c r="D63">
        <f t="shared" si="2"/>
        <v>1.4709431492547955E-3</v>
      </c>
      <c r="E63">
        <v>1.1073716290878104E-2</v>
      </c>
      <c r="F63">
        <v>8.7429404071839318E-3</v>
      </c>
      <c r="G63">
        <v>0.72528759984731672</v>
      </c>
      <c r="H63">
        <f t="shared" si="3"/>
        <v>1.0693944373552173</v>
      </c>
      <c r="I63">
        <v>1.4589289663924475E-2</v>
      </c>
      <c r="J63">
        <v>0.86886975014224266</v>
      </c>
      <c r="K63">
        <v>1.9718536787332396E-2</v>
      </c>
      <c r="L63">
        <v>0.7398768895112412</v>
      </c>
      <c r="M63">
        <v>1.5295558702083361E-3</v>
      </c>
      <c r="N63">
        <v>7.9744259862172412E-4</v>
      </c>
    </row>
    <row r="64" spans="1:17">
      <c r="A64">
        <v>710</v>
      </c>
      <c r="B64" s="1">
        <v>0.82699999999999996</v>
      </c>
      <c r="C64" s="2">
        <v>6.9999999999999999E-4</v>
      </c>
      <c r="D64">
        <f t="shared" si="2"/>
        <v>1.3362989207807616E-3</v>
      </c>
      <c r="E64">
        <v>6.6891568970717232E-3</v>
      </c>
      <c r="F64">
        <v>8.4268729414250614E-3</v>
      </c>
      <c r="G64">
        <v>0.84345232875927756</v>
      </c>
      <c r="H64">
        <f t="shared" si="3"/>
        <v>1.0638275841750662</v>
      </c>
      <c r="I64">
        <v>1.419890779102736E-2</v>
      </c>
      <c r="J64">
        <v>0.99887100181160726</v>
      </c>
      <c r="K64">
        <v>1.6555573158314373E-2</v>
      </c>
      <c r="L64">
        <v>0.85765123655030495</v>
      </c>
      <c r="M64">
        <v>1.2724873079508906E-3</v>
      </c>
      <c r="N64">
        <v>6.631278972502215E-4</v>
      </c>
    </row>
    <row r="65" spans="1:18">
      <c r="A65">
        <v>715</v>
      </c>
      <c r="B65" s="1">
        <v>1.0069999999999999</v>
      </c>
      <c r="C65" s="2">
        <v>6.9999999999999999E-4</v>
      </c>
      <c r="D65">
        <f t="shared" si="2"/>
        <v>1.2139794842407684E-3</v>
      </c>
      <c r="E65">
        <v>5.2765810065444011E-3</v>
      </c>
      <c r="F65">
        <v>8.1247132400702107E-3</v>
      </c>
      <c r="G65">
        <v>1.0216152737308553</v>
      </c>
      <c r="H65">
        <f t="shared" si="3"/>
        <v>1.0583284906364618</v>
      </c>
      <c r="I65">
        <v>1.3806581669930712E-2</v>
      </c>
      <c r="J65">
        <v>1.1956900153900365</v>
      </c>
      <c r="K65">
        <v>1.3334257527900576E-2</v>
      </c>
      <c r="L65">
        <v>1.0354218554007859</v>
      </c>
      <c r="M65">
        <v>1.0128721205903781E-3</v>
      </c>
      <c r="N65">
        <v>5.2760197136385366E-4</v>
      </c>
    </row>
    <row r="67" spans="1:18">
      <c r="O67" t="s">
        <v>136</v>
      </c>
      <c r="P67" t="s">
        <v>137</v>
      </c>
      <c r="Q67" s="59" t="s">
        <v>251</v>
      </c>
      <c r="R67" s="59" t="s">
        <v>252</v>
      </c>
    </row>
    <row r="68" spans="1:18">
      <c r="O68">
        <f>2.5*(O62+O2)+5*SUM(O3:O61)</f>
        <v>2342.2824999999993</v>
      </c>
      <c r="P68">
        <f>2.5*(P62+P2)+5*SUM(P3:P61)</f>
        <v>618.71296136320154</v>
      </c>
      <c r="Q68">
        <f>2.5*(Q62+Q2)+5*SUM(Q3:Q61)</f>
        <v>1169.1323007151</v>
      </c>
      <c r="R68">
        <f>Q68*'WQ Input'!J6</f>
        <v>0</v>
      </c>
    </row>
  </sheetData>
  <phoneticPr fontId="9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A413"/>
  <sheetViews>
    <sheetView workbookViewId="0">
      <selection activeCell="N12" sqref="N12"/>
    </sheetView>
  </sheetViews>
  <sheetFormatPr defaultColWidth="11.28515625" defaultRowHeight="12.75"/>
  <cols>
    <col min="1" max="1" width="31.28515625" bestFit="1" customWidth="1"/>
    <col min="2" max="2" width="6" customWidth="1"/>
    <col min="3" max="3" width="9.7109375" bestFit="1" customWidth="1"/>
    <col min="4" max="4" width="8.28515625" customWidth="1"/>
    <col min="5" max="5" width="11.28515625" customWidth="1"/>
    <col min="6" max="6" width="8.140625" hidden="1" customWidth="1"/>
    <col min="7" max="7" width="9.140625" hidden="1" customWidth="1"/>
    <col min="8" max="8" width="7" hidden="1" customWidth="1"/>
    <col min="9" max="12" width="11.28515625" hidden="1" customWidth="1"/>
    <col min="13" max="13" width="12.85546875" customWidth="1"/>
  </cols>
  <sheetData>
    <row r="1" spans="1:27" ht="36.75">
      <c r="A1" s="5" t="s">
        <v>27</v>
      </c>
      <c r="B1" s="5"/>
      <c r="C1" s="6" t="s">
        <v>28</v>
      </c>
      <c r="D1" s="7"/>
      <c r="E1" s="8" t="s">
        <v>29</v>
      </c>
      <c r="F1" s="7"/>
      <c r="G1" s="7">
        <f>2*PI()/360</f>
        <v>1.7453292519943295E-2</v>
      </c>
      <c r="H1" s="7"/>
      <c r="I1" s="7"/>
      <c r="J1" s="7"/>
      <c r="K1" s="7"/>
      <c r="L1" s="7"/>
      <c r="M1" s="9" t="s">
        <v>30</v>
      </c>
      <c r="N1" s="10" t="s">
        <v>31</v>
      </c>
      <c r="O1" s="11" t="s">
        <v>22</v>
      </c>
    </row>
    <row r="2" spans="1:27" ht="25.5">
      <c r="A2" s="12" t="s">
        <v>32</v>
      </c>
      <c r="B2" s="12"/>
      <c r="E2" s="13" t="s">
        <v>21</v>
      </c>
      <c r="G2" s="7"/>
      <c r="H2" s="7"/>
      <c r="I2" s="7"/>
      <c r="J2" s="7"/>
      <c r="K2" s="7"/>
      <c r="L2" s="7"/>
      <c r="M2" s="14">
        <f>Year</f>
        <v>2008</v>
      </c>
      <c r="N2" s="15">
        <f>AVERAGE(O16:AA16)</f>
        <v>0.9566843397764212</v>
      </c>
      <c r="O2" s="16">
        <f>DATE($M$2,$M$3,$M$4)-DATE($M$2-1,12,31)</f>
        <v>220</v>
      </c>
    </row>
    <row r="3" spans="1:27">
      <c r="E3" s="13" t="s">
        <v>33</v>
      </c>
      <c r="F3" s="7"/>
      <c r="G3" s="7"/>
      <c r="H3" s="7"/>
      <c r="I3" s="7"/>
      <c r="J3" s="7"/>
      <c r="K3" s="7"/>
      <c r="L3" s="7"/>
      <c r="M3" s="14">
        <f>Mon</f>
        <v>8</v>
      </c>
      <c r="N3" s="17" t="s">
        <v>34</v>
      </c>
      <c r="O3" s="18">
        <f>-5+Parameters!$B$3/15+L9-F9/2</f>
        <v>-4.9484733760181445</v>
      </c>
    </row>
    <row r="4" spans="1:27">
      <c r="C4" s="19"/>
      <c r="D4" s="20"/>
      <c r="E4" s="13" t="s">
        <v>22</v>
      </c>
      <c r="F4" s="7"/>
      <c r="G4" s="7"/>
      <c r="H4" s="7"/>
      <c r="I4" s="7"/>
      <c r="J4" s="7"/>
      <c r="K4" s="7"/>
      <c r="L4" s="7"/>
      <c r="M4" s="14">
        <f>Day</f>
        <v>7</v>
      </c>
      <c r="N4" s="17" t="s">
        <v>35</v>
      </c>
      <c r="O4" s="18">
        <f>-5+Parameters!$B$3/15+L9+F9/2</f>
        <v>8.1475536286622354</v>
      </c>
    </row>
    <row r="5" spans="1:27" ht="25.5">
      <c r="A5" s="12" t="s">
        <v>36</v>
      </c>
      <c r="B5" s="12"/>
      <c r="C5" s="19" t="s">
        <v>37</v>
      </c>
      <c r="D5" s="21">
        <f>DecTime</f>
        <v>10.566666666666666</v>
      </c>
      <c r="E5" s="13" t="s">
        <v>38</v>
      </c>
      <c r="F5" s="22"/>
      <c r="G5" s="22"/>
      <c r="H5" s="22"/>
      <c r="I5" s="22"/>
      <c r="J5" s="22"/>
      <c r="K5" s="22"/>
      <c r="L5" s="22"/>
      <c r="M5" s="23">
        <f>DATE(M2,M3,M4)-DATE(M2-1,12,31)</f>
        <v>220</v>
      </c>
    </row>
    <row r="6" spans="1:27" ht="38.25">
      <c r="A6" s="12" t="s">
        <v>39</v>
      </c>
      <c r="B6" s="12"/>
      <c r="C6" s="19" t="s">
        <v>40</v>
      </c>
      <c r="D6" s="21">
        <f>D5+20/60</f>
        <v>10.9</v>
      </c>
      <c r="E6" s="13"/>
      <c r="F6" s="22"/>
      <c r="G6" s="22"/>
      <c r="H6" s="22"/>
      <c r="I6" s="22"/>
      <c r="J6" s="22"/>
      <c r="K6" s="22"/>
      <c r="L6" s="22"/>
      <c r="M6" s="14"/>
      <c r="N6">
        <f>1.33*(ACOS(mu0))*180/PI()</f>
        <v>22.510854772870545</v>
      </c>
    </row>
    <row r="7" spans="1:27">
      <c r="A7" s="24"/>
      <c r="B7" s="24"/>
      <c r="D7" s="25"/>
      <c r="E7" s="26"/>
      <c r="F7" s="17"/>
      <c r="G7" s="17"/>
      <c r="H7" s="17"/>
      <c r="I7" s="17"/>
      <c r="J7" s="17"/>
      <c r="K7" s="17"/>
      <c r="L7" s="17"/>
      <c r="M7" s="14"/>
    </row>
    <row r="8" spans="1:27">
      <c r="A8" s="24"/>
      <c r="B8" s="24"/>
      <c r="D8" s="27"/>
      <c r="F8" s="17" t="s">
        <v>41</v>
      </c>
      <c r="G8" s="17" t="s">
        <v>42</v>
      </c>
      <c r="H8" s="17" t="s">
        <v>43</v>
      </c>
      <c r="I8" s="17" t="s">
        <v>44</v>
      </c>
      <c r="J8" s="17" t="s">
        <v>45</v>
      </c>
      <c r="K8" s="17" t="s">
        <v>46</v>
      </c>
      <c r="L8" s="17" t="s">
        <v>47</v>
      </c>
      <c r="N8" t="s">
        <v>48</v>
      </c>
    </row>
    <row r="9" spans="1:27">
      <c r="F9" s="28">
        <f>(48/(2*PI()))*ACOS(-1*SIN($G$1*Latitude)*SIN(K9)/(COS($G$1*Latitude)*COS(K9)))</f>
        <v>13.09602700468038</v>
      </c>
      <c r="G9" s="28">
        <f>F9/24</f>
        <v>0.54566779186168246</v>
      </c>
      <c r="H9" s="28">
        <f>360*(O2-1)/365.242</f>
        <v>215.85688392901145</v>
      </c>
      <c r="I9" s="28">
        <f>279.9348+O2</f>
        <v>499.9348</v>
      </c>
      <c r="J9" s="28">
        <f>I9+0.4087*SIN($G$1*I9)+1.8724*COS($G$1*I9)-0.0182*SIN($G$1*2*I9)+0.0083*COS($G$1*2*I9)</f>
        <v>498.78424562472372</v>
      </c>
      <c r="K9" s="28">
        <f>ASIN(SIN($G$1*23.44383)*SIN($G$1*J9))</f>
        <v>0.26524094467515491</v>
      </c>
      <c r="L9" s="28">
        <f>12+0.12357*SIN($G$1*H9)-0.004289*COS($G$1*H9)+0.153809*SIN(2*$G$1*H9)+0.060783*COS(2*$G$1*H9)</f>
        <v>12.096206792988712</v>
      </c>
      <c r="N9">
        <f>mu0</f>
        <v>0.9566843397764212</v>
      </c>
    </row>
    <row r="10" spans="1:27">
      <c r="F10">
        <v>0.05</v>
      </c>
      <c r="G10">
        <v>0.1</v>
      </c>
      <c r="H10">
        <v>0.2</v>
      </c>
      <c r="I10">
        <v>0.28599999999999998</v>
      </c>
      <c r="J10">
        <v>0.4</v>
      </c>
    </row>
    <row r="11" spans="1:27">
      <c r="A11" s="29"/>
      <c r="B11" s="30"/>
      <c r="C11" s="31"/>
      <c r="D11" s="31"/>
      <c r="E11" s="31"/>
      <c r="F11" s="31">
        <f>F$12*$N$2-F$13</f>
        <v>0.19912262819701579</v>
      </c>
      <c r="G11" s="31">
        <f>G$12*$N$2-G$13</f>
        <v>0.18519884390137159</v>
      </c>
      <c r="H11" s="31">
        <f>H$12*$N$2-H$13</f>
        <v>0.1658635106604551</v>
      </c>
      <c r="I11" s="31">
        <f>I$12*$N$2-I$13</f>
        <v>0.15366772308842142</v>
      </c>
      <c r="J11" s="31">
        <f>J$12*$N$2-J$13</f>
        <v>0.13865033989294348</v>
      </c>
      <c r="K11" s="31"/>
      <c r="L11" s="31"/>
      <c r="M11" s="31"/>
      <c r="N11" t="s">
        <v>159</v>
      </c>
    </row>
    <row r="12" spans="1:27">
      <c r="A12" s="32"/>
      <c r="B12" s="32"/>
      <c r="C12" s="33"/>
      <c r="F12">
        <v>0.29959999999999998</v>
      </c>
      <c r="G12">
        <v>0.2175</v>
      </c>
      <c r="H12">
        <v>0.1232</v>
      </c>
      <c r="I12">
        <v>7.3166999999999996E-2</v>
      </c>
      <c r="J12">
        <v>1.546E-2</v>
      </c>
      <c r="N12">
        <f>DEGREES(ASIN(1.33*SIN(ACOS(mu0))))</f>
        <v>22.78033972333661</v>
      </c>
    </row>
    <row r="13" spans="1:27">
      <c r="A13" s="32"/>
      <c r="B13" s="32"/>
      <c r="C13" s="33"/>
      <c r="F13">
        <v>8.7499999999999994E-2</v>
      </c>
      <c r="G13">
        <v>2.2880000000000001E-2</v>
      </c>
      <c r="H13">
        <v>-4.8000000000000001E-2</v>
      </c>
      <c r="I13">
        <v>-8.3669999999999994E-2</v>
      </c>
      <c r="J13">
        <v>-0.12386</v>
      </c>
      <c r="O13">
        <v>0</v>
      </c>
      <c r="P13">
        <v>1</v>
      </c>
      <c r="Q13">
        <v>2</v>
      </c>
      <c r="R13">
        <v>3</v>
      </c>
      <c r="S13">
        <v>4</v>
      </c>
      <c r="T13">
        <v>5</v>
      </c>
      <c r="U13">
        <v>6</v>
      </c>
      <c r="V13">
        <v>7</v>
      </c>
      <c r="W13">
        <v>8</v>
      </c>
      <c r="X13">
        <v>9</v>
      </c>
      <c r="Y13">
        <v>10</v>
      </c>
      <c r="Z13">
        <v>11</v>
      </c>
      <c r="AA13">
        <v>12</v>
      </c>
    </row>
    <row r="14" spans="1:27">
      <c r="D14" s="34"/>
      <c r="E14" s="7"/>
    </row>
    <row r="15" spans="1:27">
      <c r="D15" s="7"/>
      <c r="E15" s="7"/>
      <c r="O15">
        <f>($D$5-$O$3)+O$13*($D$6-$D$5)/12</f>
        <v>15.515140042684811</v>
      </c>
      <c r="P15">
        <f t="shared" ref="P15:AA15" si="0">($D$5-$O$3)+P$13*($D$6-$D$5)/12</f>
        <v>15.54291782046259</v>
      </c>
      <c r="Q15">
        <f t="shared" si="0"/>
        <v>15.570695598240366</v>
      </c>
      <c r="R15">
        <f t="shared" si="0"/>
        <v>15.598473376018145</v>
      </c>
      <c r="S15">
        <f t="shared" si="0"/>
        <v>15.626251153795922</v>
      </c>
      <c r="T15">
        <f t="shared" si="0"/>
        <v>15.6540289315737</v>
      </c>
      <c r="U15">
        <f t="shared" si="0"/>
        <v>15.681806709351477</v>
      </c>
      <c r="V15">
        <f t="shared" si="0"/>
        <v>15.709584487129256</v>
      </c>
      <c r="W15">
        <f t="shared" si="0"/>
        <v>15.737362264907034</v>
      </c>
      <c r="X15">
        <f t="shared" si="0"/>
        <v>15.765140042684811</v>
      </c>
      <c r="Y15">
        <f t="shared" si="0"/>
        <v>15.79291782046259</v>
      </c>
      <c r="Z15">
        <f t="shared" si="0"/>
        <v>15.820695598240366</v>
      </c>
      <c r="AA15">
        <f t="shared" si="0"/>
        <v>15.848473376018145</v>
      </c>
    </row>
    <row r="16" spans="1:27">
      <c r="A16" s="32"/>
      <c r="B16" s="32"/>
      <c r="C16" s="35"/>
      <c r="D16" s="7"/>
      <c r="E16" s="7"/>
      <c r="N16">
        <f>COS(ASIN(SIN(PI()/2-ASIN(COS(2*PI()*($L9-$O3)/24)*COS($K9)*COS($G$1*Latitude)+SIN($G$1*Latitude)*SIN($K9)))/1.33))</f>
        <v>0.66270737716084649</v>
      </c>
      <c r="O16" s="1">
        <f>COS(ASIN(SIN(PI()/2-ASIN(COS(2*PI()*($L9-($O3+O$15))/24)*COS($K9)*COS($G$1*Latitude)+SIN($G$1*Latitude)*SIN($K9)))/1.33))</f>
        <v>0.94935892708670866</v>
      </c>
      <c r="P16" s="1">
        <f>COS(ASIN(SIN(PI()/2-ASIN(COS(2*PI()*($L9-($O3+P$15))/24)*COS($K9)*COS($G$1*Latitude)+SIN($G$1*Latitude)*SIN($K9)))/1.33))</f>
        <v>0.95065814827073891</v>
      </c>
      <c r="Q16" s="1">
        <f t="shared" ref="Q16:Z16" si="1">COS(ASIN(SIN(PI()/2-ASIN(COS(2*PI()*($L9-($O3+Q$15))/24)*COS($K9)*COS($G$1*Latitude)+SIN($G$1*Latitude)*SIN($K9)))/1.33))</f>
        <v>0.95193639189491763</v>
      </c>
      <c r="R16" s="1">
        <f t="shared" si="1"/>
        <v>0.95319349958941513</v>
      </c>
      <c r="S16" s="1">
        <f t="shared" si="1"/>
        <v>0.95442931604466752</v>
      </c>
      <c r="T16" s="1">
        <f>COS(ASIN(SIN(PI()/2-ASIN(COS(2*PI()*($L9-($O3+T$15))/24)*COS($K9)*COS($G$1*Latitude)+SIN($G$1*Latitude)*SIN($K9)))/1.33))</f>
        <v>0.95564368900582708</v>
      </c>
      <c r="U16" s="1">
        <f t="shared" si="1"/>
        <v>0.95683646926727983</v>
      </c>
      <c r="V16" s="1">
        <f t="shared" si="1"/>
        <v>0.95800751066723211</v>
      </c>
      <c r="W16" s="1">
        <f t="shared" si="1"/>
        <v>0.95915667008237016</v>
      </c>
      <c r="X16" s="1">
        <f t="shared" si="1"/>
        <v>0.960283807422598</v>
      </c>
      <c r="Y16" s="1">
        <f t="shared" si="1"/>
        <v>0.96138878562585406</v>
      </c>
      <c r="Z16" s="1">
        <f t="shared" si="1"/>
        <v>0.9624714706530102</v>
      </c>
      <c r="AA16" s="1">
        <f>COS(ASIN(SIN(PI()/2-ASIN(COS(2*PI()*($L9-($O3+AA$15))/24)*COS($K9)*COS($G$1*Latitude)+SIN($G$1*Latitude)*SIN($K9)))/1.33))</f>
        <v>0.96353173148285642</v>
      </c>
    </row>
    <row r="17" spans="1:5">
      <c r="C17" s="36"/>
      <c r="D17" s="37"/>
      <c r="E17" s="7"/>
    </row>
    <row r="18" spans="1:5">
      <c r="C18" s="38"/>
      <c r="D18" s="39"/>
    </row>
    <row r="19" spans="1:5">
      <c r="A19" s="32"/>
      <c r="B19" s="32"/>
      <c r="C19" s="38"/>
      <c r="D19" s="39"/>
    </row>
    <row r="20" spans="1:5">
      <c r="C20" s="40"/>
      <c r="D20" s="41"/>
    </row>
    <row r="21" spans="1:5">
      <c r="A21" s="42"/>
      <c r="B21" s="42"/>
      <c r="C21" s="43"/>
      <c r="D21" s="41"/>
    </row>
    <row r="22" spans="1:5">
      <c r="A22" s="32"/>
      <c r="B22" s="32"/>
      <c r="C22" s="43"/>
      <c r="D22" s="41"/>
    </row>
    <row r="23" spans="1:5">
      <c r="A23" s="32"/>
      <c r="B23" s="32"/>
      <c r="C23" s="43"/>
      <c r="D23" s="41"/>
    </row>
    <row r="24" spans="1:5">
      <c r="A24" s="32"/>
      <c r="B24" s="32"/>
      <c r="C24" s="43"/>
      <c r="D24" s="41"/>
    </row>
    <row r="25" spans="1:5">
      <c r="C25" s="44"/>
      <c r="D25" s="41"/>
    </row>
    <row r="26" spans="1:5">
      <c r="C26" s="45"/>
      <c r="D26" s="41"/>
    </row>
    <row r="27" spans="1:5">
      <c r="A27" s="32"/>
      <c r="B27" s="32"/>
      <c r="C27" s="46"/>
      <c r="D27" s="41"/>
    </row>
    <row r="28" spans="1:5">
      <c r="C28" s="46"/>
      <c r="D28" s="41"/>
    </row>
    <row r="29" spans="1:5">
      <c r="C29" s="46"/>
      <c r="D29" s="41"/>
    </row>
    <row r="30" spans="1:5">
      <c r="C30" s="46"/>
      <c r="D30" s="41"/>
    </row>
    <row r="31" spans="1:5">
      <c r="C31" s="46"/>
      <c r="D31" s="41"/>
    </row>
    <row r="32" spans="1:5">
      <c r="C32" s="46"/>
      <c r="D32" s="41"/>
    </row>
    <row r="33" spans="3:4">
      <c r="C33" s="46"/>
      <c r="D33" s="41"/>
    </row>
    <row r="34" spans="3:4">
      <c r="C34" s="46"/>
      <c r="D34" s="41"/>
    </row>
    <row r="35" spans="3:4">
      <c r="C35" s="46"/>
      <c r="D35" s="41"/>
    </row>
    <row r="36" spans="3:4">
      <c r="C36" s="46"/>
      <c r="D36" s="41"/>
    </row>
    <row r="37" spans="3:4">
      <c r="C37" s="46"/>
    </row>
    <row r="38" spans="3:4">
      <c r="C38" s="47"/>
    </row>
    <row r="39" spans="3:4">
      <c r="C39" s="47"/>
    </row>
    <row r="40" spans="3:4">
      <c r="C40" s="47"/>
    </row>
    <row r="41" spans="3:4">
      <c r="C41" s="47"/>
    </row>
    <row r="42" spans="3:4">
      <c r="C42" s="47"/>
    </row>
    <row r="43" spans="3:4">
      <c r="C43" s="47"/>
    </row>
    <row r="44" spans="3:4">
      <c r="C44" s="47"/>
    </row>
    <row r="45" spans="3:4">
      <c r="C45" s="47"/>
    </row>
    <row r="46" spans="3:4">
      <c r="C46" s="47"/>
    </row>
    <row r="49" spans="3:6">
      <c r="C49" s="47"/>
      <c r="D49" s="48"/>
      <c r="E49" s="48"/>
      <c r="F49" s="48"/>
    </row>
    <row r="50" spans="3:6">
      <c r="C50" s="47"/>
      <c r="D50" s="48"/>
      <c r="E50" s="48"/>
      <c r="F50" s="48"/>
    </row>
    <row r="51" spans="3:6">
      <c r="C51" s="47"/>
      <c r="D51" s="48"/>
      <c r="E51" s="48"/>
      <c r="F51" s="48"/>
    </row>
    <row r="52" spans="3:6">
      <c r="C52" s="47"/>
      <c r="D52" s="48"/>
      <c r="E52" s="48"/>
      <c r="F52" s="48"/>
    </row>
    <row r="53" spans="3:6">
      <c r="C53" s="47"/>
      <c r="D53" s="48"/>
      <c r="E53" s="48"/>
      <c r="F53" s="48"/>
    </row>
    <row r="54" spans="3:6">
      <c r="C54" s="47"/>
      <c r="D54" s="48"/>
      <c r="E54" s="48"/>
      <c r="F54" s="48"/>
    </row>
    <row r="55" spans="3:6">
      <c r="C55" s="47"/>
      <c r="D55" s="48"/>
      <c r="E55" s="48"/>
      <c r="F55" s="48"/>
    </row>
    <row r="56" spans="3:6">
      <c r="C56" s="47"/>
      <c r="D56" s="48"/>
      <c r="E56" s="48"/>
      <c r="F56" s="48"/>
    </row>
    <row r="57" spans="3:6">
      <c r="C57" s="47"/>
      <c r="D57" s="48"/>
      <c r="E57" s="48"/>
      <c r="F57" s="48"/>
    </row>
    <row r="58" spans="3:6">
      <c r="C58" s="47"/>
      <c r="D58" s="48"/>
      <c r="E58" s="48"/>
      <c r="F58" s="48"/>
    </row>
    <row r="59" spans="3:6">
      <c r="C59" s="47"/>
      <c r="D59" s="48"/>
      <c r="E59" s="48"/>
      <c r="F59" s="48"/>
    </row>
    <row r="60" spans="3:6">
      <c r="C60" s="47"/>
      <c r="D60" s="48"/>
      <c r="E60" s="48"/>
      <c r="F60" s="48"/>
    </row>
    <row r="61" spans="3:6">
      <c r="C61" s="47"/>
      <c r="D61" s="48"/>
      <c r="E61" s="48"/>
      <c r="F61" s="48"/>
    </row>
    <row r="62" spans="3:6">
      <c r="C62" s="47"/>
      <c r="D62" s="48"/>
      <c r="E62" s="48"/>
      <c r="F62" s="48"/>
    </row>
    <row r="63" spans="3:6">
      <c r="C63" s="47"/>
      <c r="D63" s="48"/>
      <c r="E63" s="48"/>
      <c r="F63" s="48"/>
    </row>
    <row r="64" spans="3:6">
      <c r="C64" s="47"/>
      <c r="D64" s="48"/>
      <c r="E64" s="48"/>
      <c r="F64" s="48"/>
    </row>
    <row r="65" spans="3:6">
      <c r="C65" s="47"/>
      <c r="D65" s="48"/>
      <c r="E65" s="48"/>
      <c r="F65" s="48"/>
    </row>
    <row r="66" spans="3:6">
      <c r="C66" s="47"/>
      <c r="D66" s="48"/>
      <c r="E66" s="48"/>
      <c r="F66" s="48"/>
    </row>
    <row r="67" spans="3:6">
      <c r="C67" s="47"/>
      <c r="D67" s="48"/>
      <c r="E67" s="48"/>
      <c r="F67" s="48"/>
    </row>
    <row r="68" spans="3:6">
      <c r="C68" s="47"/>
      <c r="D68" s="48"/>
      <c r="E68" s="48"/>
      <c r="F68" s="48"/>
    </row>
    <row r="69" spans="3:6">
      <c r="C69" s="47"/>
      <c r="D69" s="48"/>
      <c r="E69" s="48"/>
      <c r="F69" s="48"/>
    </row>
    <row r="70" spans="3:6">
      <c r="C70" s="47"/>
      <c r="D70" s="48"/>
      <c r="E70" s="48"/>
      <c r="F70" s="48"/>
    </row>
    <row r="71" spans="3:6">
      <c r="C71" s="47"/>
      <c r="D71" s="48"/>
      <c r="E71" s="48"/>
      <c r="F71" s="48"/>
    </row>
    <row r="72" spans="3:6">
      <c r="C72" s="47"/>
      <c r="D72" s="48"/>
      <c r="E72" s="48"/>
      <c r="F72" s="48"/>
    </row>
    <row r="73" spans="3:6">
      <c r="C73" s="47"/>
      <c r="D73" s="48"/>
      <c r="E73" s="48"/>
      <c r="F73" s="48"/>
    </row>
    <row r="74" spans="3:6">
      <c r="C74" s="47"/>
      <c r="D74" s="48"/>
      <c r="E74" s="48"/>
      <c r="F74" s="48"/>
    </row>
    <row r="75" spans="3:6">
      <c r="C75" s="47"/>
      <c r="D75" s="48"/>
      <c r="E75" s="48"/>
      <c r="F75" s="48"/>
    </row>
    <row r="76" spans="3:6">
      <c r="C76" s="47"/>
      <c r="D76" s="48"/>
      <c r="E76" s="48"/>
      <c r="F76" s="48"/>
    </row>
    <row r="77" spans="3:6">
      <c r="C77" s="47"/>
      <c r="D77" s="48"/>
      <c r="E77" s="48"/>
      <c r="F77" s="48"/>
    </row>
    <row r="78" spans="3:6">
      <c r="C78" s="47"/>
      <c r="D78" s="48"/>
      <c r="E78" s="48"/>
      <c r="F78" s="48"/>
    </row>
    <row r="79" spans="3:6">
      <c r="C79" s="47"/>
      <c r="D79" s="48"/>
      <c r="E79" s="48"/>
      <c r="F79" s="48"/>
    </row>
    <row r="80" spans="3:6">
      <c r="C80" s="47"/>
      <c r="D80" s="48"/>
      <c r="E80" s="48"/>
      <c r="F80" s="48"/>
    </row>
    <row r="81" spans="3:6">
      <c r="C81" s="47"/>
      <c r="D81" s="48"/>
      <c r="E81" s="48"/>
      <c r="F81" s="48"/>
    </row>
    <row r="82" spans="3:6">
      <c r="C82" s="47"/>
      <c r="D82" s="48"/>
      <c r="E82" s="48"/>
      <c r="F82" s="48"/>
    </row>
    <row r="83" spans="3:6">
      <c r="C83" s="47"/>
      <c r="D83" s="48"/>
      <c r="E83" s="48"/>
      <c r="F83" s="48"/>
    </row>
    <row r="84" spans="3:6">
      <c r="C84" s="47"/>
      <c r="D84" s="48"/>
      <c r="E84" s="48"/>
      <c r="F84" s="48"/>
    </row>
    <row r="85" spans="3:6">
      <c r="C85" s="47"/>
      <c r="D85" s="48"/>
      <c r="E85" s="48"/>
      <c r="F85" s="48"/>
    </row>
    <row r="86" spans="3:6">
      <c r="C86" s="47"/>
      <c r="D86" s="48"/>
      <c r="E86" s="48"/>
      <c r="F86" s="48"/>
    </row>
    <row r="87" spans="3:6">
      <c r="C87" s="47"/>
      <c r="D87" s="48"/>
      <c r="E87" s="48"/>
      <c r="F87" s="48"/>
    </row>
    <row r="88" spans="3:6">
      <c r="C88" s="47"/>
      <c r="D88" s="48"/>
      <c r="E88" s="48"/>
      <c r="F88" s="48"/>
    </row>
    <row r="89" spans="3:6">
      <c r="C89" s="47"/>
      <c r="D89" s="48"/>
      <c r="E89" s="48"/>
      <c r="F89" s="48"/>
    </row>
    <row r="90" spans="3:6">
      <c r="C90" s="47"/>
      <c r="D90" s="48"/>
      <c r="E90" s="48"/>
      <c r="F90" s="48"/>
    </row>
    <row r="91" spans="3:6">
      <c r="C91" s="47"/>
      <c r="D91" s="48"/>
      <c r="E91" s="48"/>
      <c r="F91" s="48"/>
    </row>
    <row r="92" spans="3:6">
      <c r="C92" s="47"/>
      <c r="D92" s="48"/>
      <c r="E92" s="48"/>
      <c r="F92" s="48"/>
    </row>
    <row r="93" spans="3:6">
      <c r="C93" s="47"/>
      <c r="D93" s="48"/>
      <c r="E93" s="48"/>
      <c r="F93" s="48"/>
    </row>
    <row r="94" spans="3:6">
      <c r="C94" s="47"/>
      <c r="D94" s="48"/>
      <c r="E94" s="48"/>
      <c r="F94" s="48"/>
    </row>
    <row r="95" spans="3:6">
      <c r="C95" s="47"/>
      <c r="D95" s="48"/>
      <c r="E95" s="48"/>
      <c r="F95" s="48"/>
    </row>
    <row r="96" spans="3:6">
      <c r="C96" s="47"/>
      <c r="D96" s="48"/>
      <c r="E96" s="48"/>
      <c r="F96" s="48"/>
    </row>
    <row r="97" spans="3:6">
      <c r="C97" s="47"/>
      <c r="D97" s="48"/>
      <c r="E97" s="48"/>
      <c r="F97" s="48"/>
    </row>
    <row r="98" spans="3:6">
      <c r="C98" s="47"/>
      <c r="D98" s="48"/>
      <c r="E98" s="48"/>
      <c r="F98" s="48"/>
    </row>
    <row r="99" spans="3:6">
      <c r="C99" s="47"/>
      <c r="D99" s="48"/>
      <c r="E99" s="48"/>
      <c r="F99" s="48"/>
    </row>
    <row r="100" spans="3:6">
      <c r="C100" s="47"/>
      <c r="D100" s="48"/>
      <c r="E100" s="48"/>
      <c r="F100" s="48"/>
    </row>
    <row r="101" spans="3:6">
      <c r="C101" s="47"/>
      <c r="D101" s="48"/>
      <c r="E101" s="48"/>
      <c r="F101" s="48"/>
    </row>
    <row r="102" spans="3:6">
      <c r="C102" s="47"/>
      <c r="D102" s="48"/>
      <c r="E102" s="48"/>
      <c r="F102" s="48"/>
    </row>
    <row r="103" spans="3:6">
      <c r="C103" s="47"/>
      <c r="D103" s="48"/>
      <c r="E103" s="48"/>
      <c r="F103" s="48"/>
    </row>
    <row r="104" spans="3:6">
      <c r="C104" s="47"/>
      <c r="D104" s="48"/>
      <c r="E104" s="48"/>
      <c r="F104" s="48"/>
    </row>
    <row r="105" spans="3:6">
      <c r="C105" s="47"/>
      <c r="D105" s="48"/>
      <c r="E105" s="48"/>
      <c r="F105" s="48"/>
    </row>
    <row r="106" spans="3:6">
      <c r="C106" s="47"/>
      <c r="D106" s="48"/>
      <c r="E106" s="48"/>
      <c r="F106" s="48"/>
    </row>
    <row r="107" spans="3:6">
      <c r="C107" s="47"/>
      <c r="D107" s="48"/>
      <c r="E107" s="48"/>
      <c r="F107" s="48"/>
    </row>
    <row r="108" spans="3:6">
      <c r="C108" s="47"/>
      <c r="D108" s="48"/>
      <c r="E108" s="48"/>
      <c r="F108" s="48"/>
    </row>
    <row r="109" spans="3:6">
      <c r="C109" s="47"/>
      <c r="D109" s="48"/>
      <c r="E109" s="48"/>
      <c r="F109" s="48"/>
    </row>
    <row r="110" spans="3:6">
      <c r="C110" s="47"/>
      <c r="D110" s="48"/>
      <c r="E110" s="48"/>
      <c r="F110" s="48"/>
    </row>
    <row r="111" spans="3:6">
      <c r="C111" s="47"/>
      <c r="D111" s="48"/>
      <c r="E111" s="48"/>
      <c r="F111" s="48"/>
    </row>
    <row r="112" spans="3:6">
      <c r="C112" s="47"/>
      <c r="D112" s="48"/>
      <c r="E112" s="48"/>
      <c r="F112" s="48"/>
    </row>
    <row r="113" spans="3:6">
      <c r="C113" s="47"/>
      <c r="D113" s="48"/>
      <c r="E113" s="48"/>
      <c r="F113" s="48"/>
    </row>
    <row r="114" spans="3:6">
      <c r="C114" s="47"/>
      <c r="D114" s="48"/>
      <c r="E114" s="48"/>
      <c r="F114" s="48"/>
    </row>
    <row r="115" spans="3:6">
      <c r="C115" s="47"/>
      <c r="D115" s="48"/>
      <c r="E115" s="48"/>
      <c r="F115" s="48"/>
    </row>
    <row r="116" spans="3:6">
      <c r="C116" s="47"/>
      <c r="D116" s="48"/>
      <c r="E116" s="48"/>
      <c r="F116" s="48"/>
    </row>
    <row r="117" spans="3:6">
      <c r="C117" s="47"/>
      <c r="D117" s="48"/>
      <c r="E117" s="48"/>
      <c r="F117" s="48"/>
    </row>
    <row r="118" spans="3:6">
      <c r="C118" s="47"/>
      <c r="D118" s="48"/>
      <c r="E118" s="48"/>
      <c r="F118" s="48"/>
    </row>
    <row r="119" spans="3:6">
      <c r="C119" s="47"/>
      <c r="D119" s="48"/>
      <c r="E119" s="48"/>
      <c r="F119" s="48"/>
    </row>
    <row r="120" spans="3:6">
      <c r="C120" s="47"/>
      <c r="D120" s="48"/>
      <c r="E120" s="48"/>
      <c r="F120" s="48"/>
    </row>
    <row r="121" spans="3:6">
      <c r="C121" s="47"/>
      <c r="D121" s="48"/>
      <c r="E121" s="48"/>
      <c r="F121" s="48"/>
    </row>
    <row r="122" spans="3:6">
      <c r="C122" s="47"/>
      <c r="D122" s="48"/>
      <c r="E122" s="48"/>
      <c r="F122" s="48"/>
    </row>
    <row r="123" spans="3:6">
      <c r="C123" s="47"/>
      <c r="D123" s="48"/>
      <c r="E123" s="48"/>
      <c r="F123" s="48"/>
    </row>
    <row r="124" spans="3:6">
      <c r="C124" s="47"/>
      <c r="D124" s="48"/>
      <c r="E124" s="48"/>
      <c r="F124" s="48"/>
    </row>
    <row r="125" spans="3:6">
      <c r="C125" s="47"/>
      <c r="D125" s="48"/>
      <c r="E125" s="48"/>
      <c r="F125" s="48"/>
    </row>
    <row r="126" spans="3:6">
      <c r="C126" s="47"/>
      <c r="D126" s="48"/>
      <c r="E126" s="48"/>
      <c r="F126" s="48"/>
    </row>
    <row r="127" spans="3:6">
      <c r="C127" s="47"/>
      <c r="D127" s="48"/>
      <c r="E127" s="48"/>
      <c r="F127" s="48"/>
    </row>
    <row r="128" spans="3:6">
      <c r="C128" s="47"/>
      <c r="D128" s="48"/>
      <c r="E128" s="48"/>
      <c r="F128" s="48"/>
    </row>
    <row r="129" spans="3:6">
      <c r="C129" s="47"/>
      <c r="D129" s="48"/>
      <c r="E129" s="48"/>
      <c r="F129" s="48"/>
    </row>
    <row r="130" spans="3:6">
      <c r="C130" s="47"/>
      <c r="D130" s="48"/>
      <c r="E130" s="48"/>
      <c r="F130" s="48"/>
    </row>
    <row r="131" spans="3:6">
      <c r="C131" s="47"/>
      <c r="D131" s="48"/>
      <c r="E131" s="48"/>
      <c r="F131" s="48"/>
    </row>
    <row r="132" spans="3:6">
      <c r="C132" s="47"/>
      <c r="D132" s="48"/>
      <c r="E132" s="48"/>
      <c r="F132" s="48"/>
    </row>
    <row r="133" spans="3:6">
      <c r="C133" s="47"/>
      <c r="D133" s="48"/>
      <c r="E133" s="48"/>
      <c r="F133" s="48"/>
    </row>
    <row r="134" spans="3:6">
      <c r="C134" s="47"/>
      <c r="D134" s="48"/>
      <c r="E134" s="48"/>
      <c r="F134" s="48"/>
    </row>
    <row r="135" spans="3:6">
      <c r="C135" s="47"/>
      <c r="D135" s="48"/>
      <c r="E135" s="48"/>
      <c r="F135" s="48"/>
    </row>
    <row r="136" spans="3:6">
      <c r="C136" s="47"/>
      <c r="D136" s="48"/>
      <c r="E136" s="48"/>
      <c r="F136" s="48"/>
    </row>
    <row r="137" spans="3:6">
      <c r="C137" s="47"/>
      <c r="D137" s="48"/>
      <c r="E137" s="48"/>
      <c r="F137" s="48"/>
    </row>
    <row r="138" spans="3:6">
      <c r="C138" s="47"/>
      <c r="D138" s="48"/>
      <c r="E138" s="48"/>
      <c r="F138" s="48"/>
    </row>
    <row r="139" spans="3:6">
      <c r="C139" s="47"/>
      <c r="D139" s="48"/>
      <c r="E139" s="48"/>
      <c r="F139" s="48"/>
    </row>
    <row r="140" spans="3:6">
      <c r="C140" s="47"/>
      <c r="D140" s="48"/>
      <c r="E140" s="48"/>
      <c r="F140" s="48"/>
    </row>
    <row r="141" spans="3:6">
      <c r="C141" s="47"/>
      <c r="D141" s="48"/>
      <c r="E141" s="48"/>
      <c r="F141" s="48"/>
    </row>
    <row r="142" spans="3:6">
      <c r="C142" s="47"/>
      <c r="D142" s="48"/>
      <c r="E142" s="48"/>
      <c r="F142" s="48"/>
    </row>
    <row r="143" spans="3:6">
      <c r="C143" s="47"/>
      <c r="D143" s="48"/>
      <c r="E143" s="48"/>
      <c r="F143" s="48"/>
    </row>
    <row r="144" spans="3:6">
      <c r="C144" s="47"/>
      <c r="D144" s="48"/>
      <c r="E144" s="48"/>
      <c r="F144" s="48"/>
    </row>
    <row r="145" spans="3:6">
      <c r="C145" s="47"/>
      <c r="D145" s="48"/>
      <c r="E145" s="48"/>
      <c r="F145" s="48"/>
    </row>
    <row r="146" spans="3:6">
      <c r="C146" s="47"/>
      <c r="D146" s="48"/>
      <c r="E146" s="48"/>
      <c r="F146" s="48"/>
    </row>
    <row r="147" spans="3:6">
      <c r="C147" s="47"/>
      <c r="D147" s="48"/>
      <c r="E147" s="48"/>
      <c r="F147" s="48"/>
    </row>
    <row r="148" spans="3:6">
      <c r="C148" s="47"/>
      <c r="D148" s="48"/>
      <c r="E148" s="48"/>
      <c r="F148" s="48"/>
    </row>
    <row r="149" spans="3:6">
      <c r="C149" s="47"/>
      <c r="D149" s="48"/>
      <c r="E149" s="48"/>
      <c r="F149" s="48"/>
    </row>
    <row r="150" spans="3:6">
      <c r="C150" s="47"/>
      <c r="D150" s="48"/>
      <c r="E150" s="48"/>
      <c r="F150" s="48"/>
    </row>
    <row r="151" spans="3:6">
      <c r="C151" s="47"/>
      <c r="D151" s="48"/>
      <c r="E151" s="48"/>
      <c r="F151" s="48"/>
    </row>
    <row r="152" spans="3:6">
      <c r="C152" s="47"/>
      <c r="D152" s="48"/>
      <c r="E152" s="48"/>
      <c r="F152" s="48"/>
    </row>
    <row r="153" spans="3:6">
      <c r="C153" s="47"/>
      <c r="D153" s="48"/>
      <c r="E153" s="48"/>
      <c r="F153" s="48"/>
    </row>
    <row r="154" spans="3:6">
      <c r="C154" s="47"/>
      <c r="D154" s="48"/>
      <c r="E154" s="48"/>
      <c r="F154" s="48"/>
    </row>
    <row r="155" spans="3:6">
      <c r="C155" s="47"/>
      <c r="D155" s="48"/>
      <c r="E155" s="48"/>
      <c r="F155" s="48"/>
    </row>
    <row r="156" spans="3:6">
      <c r="C156" s="47"/>
      <c r="D156" s="48"/>
      <c r="E156" s="48"/>
      <c r="F156" s="48"/>
    </row>
    <row r="157" spans="3:6">
      <c r="C157" s="47"/>
      <c r="D157" s="48"/>
      <c r="E157" s="48"/>
      <c r="F157" s="48"/>
    </row>
    <row r="158" spans="3:6">
      <c r="C158" s="47"/>
      <c r="D158" s="48"/>
      <c r="E158" s="48"/>
      <c r="F158" s="48"/>
    </row>
    <row r="159" spans="3:6">
      <c r="C159" s="47"/>
      <c r="D159" s="48"/>
      <c r="E159" s="48"/>
      <c r="F159" s="48"/>
    </row>
    <row r="160" spans="3:6">
      <c r="C160" s="47"/>
      <c r="D160" s="48"/>
      <c r="E160" s="48"/>
      <c r="F160" s="48"/>
    </row>
    <row r="161" spans="3:6">
      <c r="C161" s="47"/>
      <c r="D161" s="48"/>
      <c r="E161" s="48"/>
      <c r="F161" s="48"/>
    </row>
    <row r="162" spans="3:6">
      <c r="C162" s="47"/>
      <c r="D162" s="48"/>
      <c r="E162" s="48"/>
      <c r="F162" s="48"/>
    </row>
    <row r="163" spans="3:6">
      <c r="C163" s="47"/>
      <c r="D163" s="48"/>
      <c r="E163" s="48"/>
      <c r="F163" s="48"/>
    </row>
    <row r="164" spans="3:6">
      <c r="C164" s="47"/>
      <c r="D164" s="48"/>
      <c r="E164" s="48"/>
      <c r="F164" s="48"/>
    </row>
    <row r="165" spans="3:6">
      <c r="C165" s="47"/>
      <c r="D165" s="48"/>
      <c r="E165" s="48"/>
      <c r="F165" s="48"/>
    </row>
    <row r="166" spans="3:6">
      <c r="C166" s="47"/>
      <c r="D166" s="48"/>
      <c r="E166" s="48"/>
      <c r="F166" s="48"/>
    </row>
    <row r="167" spans="3:6">
      <c r="C167" s="47"/>
      <c r="D167" s="48"/>
      <c r="E167" s="48"/>
      <c r="F167" s="48"/>
    </row>
    <row r="168" spans="3:6">
      <c r="C168" s="47"/>
      <c r="D168" s="48"/>
      <c r="E168" s="48"/>
      <c r="F168" s="48"/>
    </row>
    <row r="169" spans="3:6">
      <c r="C169" s="47"/>
      <c r="D169" s="48"/>
      <c r="E169" s="48"/>
      <c r="F169" s="48"/>
    </row>
    <row r="170" spans="3:6">
      <c r="C170" s="47"/>
      <c r="D170" s="48"/>
      <c r="E170" s="48"/>
      <c r="F170" s="48"/>
    </row>
    <row r="171" spans="3:6">
      <c r="C171" s="47"/>
      <c r="D171" s="48"/>
      <c r="E171" s="48"/>
      <c r="F171" s="48"/>
    </row>
    <row r="172" spans="3:6">
      <c r="C172" s="47"/>
      <c r="D172" s="48"/>
      <c r="E172" s="48"/>
      <c r="F172" s="48"/>
    </row>
    <row r="173" spans="3:6">
      <c r="C173" s="47"/>
      <c r="D173" s="48"/>
      <c r="E173" s="48"/>
      <c r="F173" s="48"/>
    </row>
    <row r="174" spans="3:6">
      <c r="C174" s="47"/>
      <c r="D174" s="48"/>
      <c r="E174" s="48"/>
      <c r="F174" s="48"/>
    </row>
    <row r="175" spans="3:6">
      <c r="C175" s="47"/>
      <c r="D175" s="48"/>
      <c r="E175" s="48"/>
      <c r="F175" s="48"/>
    </row>
    <row r="176" spans="3:6">
      <c r="C176" s="47"/>
      <c r="D176" s="48"/>
      <c r="E176" s="48"/>
      <c r="F176" s="48"/>
    </row>
    <row r="177" spans="3:6">
      <c r="C177" s="47"/>
      <c r="D177" s="48"/>
      <c r="E177" s="48"/>
      <c r="F177" s="48"/>
    </row>
    <row r="178" spans="3:6">
      <c r="C178" s="47"/>
      <c r="D178" s="48"/>
      <c r="E178" s="48"/>
      <c r="F178" s="48"/>
    </row>
    <row r="179" spans="3:6">
      <c r="C179" s="47"/>
      <c r="D179" s="48"/>
      <c r="E179" s="48"/>
      <c r="F179" s="48"/>
    </row>
    <row r="180" spans="3:6">
      <c r="C180" s="47"/>
      <c r="D180" s="48"/>
      <c r="E180" s="48"/>
      <c r="F180" s="48"/>
    </row>
    <row r="181" spans="3:6">
      <c r="C181" s="47"/>
      <c r="D181" s="48"/>
      <c r="E181" s="48"/>
      <c r="F181" s="48"/>
    </row>
    <row r="182" spans="3:6">
      <c r="C182" s="47"/>
      <c r="D182" s="48"/>
      <c r="E182" s="48"/>
      <c r="F182" s="48"/>
    </row>
    <row r="183" spans="3:6">
      <c r="C183" s="47"/>
      <c r="D183" s="48"/>
      <c r="E183" s="48"/>
      <c r="F183" s="48"/>
    </row>
    <row r="184" spans="3:6">
      <c r="C184" s="47"/>
      <c r="D184" s="48"/>
      <c r="E184" s="48"/>
      <c r="F184" s="48"/>
    </row>
    <row r="185" spans="3:6">
      <c r="C185" s="47"/>
      <c r="D185" s="48"/>
      <c r="E185" s="48"/>
      <c r="F185" s="48"/>
    </row>
    <row r="186" spans="3:6">
      <c r="C186" s="47"/>
      <c r="D186" s="48"/>
      <c r="E186" s="48"/>
      <c r="F186" s="48"/>
    </row>
    <row r="187" spans="3:6">
      <c r="C187" s="47"/>
      <c r="D187" s="48"/>
      <c r="E187" s="48"/>
      <c r="F187" s="48"/>
    </row>
    <row r="188" spans="3:6">
      <c r="C188" s="47"/>
      <c r="D188" s="48"/>
      <c r="E188" s="48"/>
      <c r="F188" s="48"/>
    </row>
    <row r="189" spans="3:6">
      <c r="C189" s="47"/>
      <c r="D189" s="48"/>
      <c r="E189" s="48"/>
      <c r="F189" s="48"/>
    </row>
    <row r="190" spans="3:6">
      <c r="C190" s="47"/>
      <c r="D190" s="48"/>
      <c r="E190" s="48"/>
      <c r="F190" s="48"/>
    </row>
    <row r="191" spans="3:6">
      <c r="C191" s="47"/>
      <c r="D191" s="48"/>
      <c r="E191" s="48"/>
      <c r="F191" s="48"/>
    </row>
    <row r="192" spans="3:6">
      <c r="C192" s="47"/>
      <c r="D192" s="48"/>
      <c r="E192" s="48"/>
      <c r="F192" s="48"/>
    </row>
    <row r="193" spans="3:6">
      <c r="C193" s="47"/>
      <c r="D193" s="48"/>
      <c r="E193" s="48"/>
      <c r="F193" s="48"/>
    </row>
    <row r="194" spans="3:6">
      <c r="C194" s="47"/>
      <c r="D194" s="48"/>
      <c r="E194" s="48"/>
      <c r="F194" s="48"/>
    </row>
    <row r="195" spans="3:6">
      <c r="C195" s="47"/>
      <c r="D195" s="48"/>
      <c r="E195" s="48"/>
      <c r="F195" s="48"/>
    </row>
    <row r="196" spans="3:6">
      <c r="C196" s="47"/>
      <c r="D196" s="48"/>
      <c r="E196" s="48"/>
      <c r="F196" s="48"/>
    </row>
    <row r="197" spans="3:6">
      <c r="C197" s="47"/>
      <c r="D197" s="48"/>
      <c r="E197" s="48"/>
      <c r="F197" s="48"/>
    </row>
    <row r="198" spans="3:6">
      <c r="C198" s="47"/>
      <c r="D198" s="48"/>
      <c r="E198" s="48"/>
      <c r="F198" s="48"/>
    </row>
    <row r="199" spans="3:6">
      <c r="C199" s="47"/>
      <c r="D199" s="48"/>
      <c r="E199" s="48"/>
      <c r="F199" s="48"/>
    </row>
    <row r="200" spans="3:6">
      <c r="C200" s="47"/>
      <c r="D200" s="48"/>
      <c r="E200" s="48"/>
      <c r="F200" s="48"/>
    </row>
    <row r="201" spans="3:6">
      <c r="C201" s="47"/>
      <c r="D201" s="48"/>
      <c r="E201" s="48"/>
      <c r="F201" s="48"/>
    </row>
    <row r="202" spans="3:6">
      <c r="C202" s="47"/>
      <c r="D202" s="48"/>
      <c r="E202" s="48"/>
      <c r="F202" s="48"/>
    </row>
    <row r="203" spans="3:6">
      <c r="C203" s="47"/>
      <c r="D203" s="48"/>
      <c r="E203" s="48"/>
      <c r="F203" s="48"/>
    </row>
    <row r="204" spans="3:6">
      <c r="C204" s="47"/>
      <c r="D204" s="48"/>
      <c r="E204" s="48"/>
      <c r="F204" s="48"/>
    </row>
    <row r="205" spans="3:6">
      <c r="C205" s="47"/>
      <c r="D205" s="48"/>
      <c r="E205" s="48"/>
      <c r="F205" s="48"/>
    </row>
    <row r="206" spans="3:6">
      <c r="C206" s="47"/>
      <c r="D206" s="48"/>
      <c r="E206" s="48"/>
      <c r="F206" s="48"/>
    </row>
    <row r="207" spans="3:6">
      <c r="C207" s="47"/>
      <c r="D207" s="48"/>
      <c r="E207" s="48"/>
      <c r="F207" s="48"/>
    </row>
    <row r="208" spans="3:6">
      <c r="C208" s="47"/>
      <c r="D208" s="48"/>
      <c r="E208" s="48"/>
      <c r="F208" s="48"/>
    </row>
    <row r="209" spans="3:6">
      <c r="C209" s="47"/>
      <c r="D209" s="48"/>
      <c r="E209" s="48"/>
      <c r="F209" s="48"/>
    </row>
    <row r="210" spans="3:6">
      <c r="C210" s="47"/>
      <c r="D210" s="48"/>
      <c r="E210" s="48"/>
      <c r="F210" s="48"/>
    </row>
    <row r="211" spans="3:6">
      <c r="C211" s="47"/>
      <c r="D211" s="48"/>
      <c r="E211" s="48"/>
      <c r="F211" s="48"/>
    </row>
    <row r="212" spans="3:6">
      <c r="C212" s="47"/>
      <c r="D212" s="48"/>
      <c r="E212" s="48"/>
      <c r="F212" s="48"/>
    </row>
    <row r="213" spans="3:6">
      <c r="C213" s="47"/>
      <c r="D213" s="48"/>
      <c r="E213" s="48"/>
      <c r="F213" s="48"/>
    </row>
    <row r="214" spans="3:6">
      <c r="C214" s="47"/>
      <c r="D214" s="48"/>
      <c r="E214" s="48"/>
      <c r="F214" s="48"/>
    </row>
    <row r="215" spans="3:6">
      <c r="C215" s="47"/>
      <c r="D215" s="48"/>
      <c r="E215" s="48"/>
      <c r="F215" s="48"/>
    </row>
    <row r="216" spans="3:6">
      <c r="C216" s="47"/>
      <c r="D216" s="48"/>
      <c r="E216" s="48"/>
      <c r="F216" s="48"/>
    </row>
    <row r="217" spans="3:6">
      <c r="C217" s="47"/>
      <c r="D217" s="48"/>
      <c r="E217" s="48"/>
      <c r="F217" s="48"/>
    </row>
    <row r="218" spans="3:6">
      <c r="C218" s="47"/>
      <c r="D218" s="48"/>
      <c r="E218" s="48"/>
      <c r="F218" s="48"/>
    </row>
    <row r="219" spans="3:6">
      <c r="C219" s="47"/>
      <c r="D219" s="48"/>
      <c r="E219" s="48"/>
      <c r="F219" s="48"/>
    </row>
    <row r="220" spans="3:6">
      <c r="C220" s="47"/>
      <c r="D220" s="48"/>
      <c r="E220" s="48"/>
      <c r="F220" s="48"/>
    </row>
    <row r="221" spans="3:6">
      <c r="C221" s="47"/>
      <c r="D221" s="48"/>
      <c r="E221" s="48"/>
      <c r="F221" s="48"/>
    </row>
    <row r="222" spans="3:6">
      <c r="C222" s="47"/>
      <c r="D222" s="48"/>
      <c r="E222" s="48"/>
      <c r="F222" s="48"/>
    </row>
    <row r="223" spans="3:6">
      <c r="C223" s="47"/>
      <c r="D223" s="48"/>
      <c r="E223" s="48"/>
      <c r="F223" s="48"/>
    </row>
    <row r="224" spans="3:6">
      <c r="C224" s="47"/>
      <c r="D224" s="48"/>
      <c r="E224" s="48"/>
      <c r="F224" s="48"/>
    </row>
    <row r="225" spans="3:6">
      <c r="C225" s="47"/>
      <c r="D225" s="48"/>
      <c r="E225" s="48"/>
      <c r="F225" s="48"/>
    </row>
    <row r="226" spans="3:6">
      <c r="C226" s="47"/>
      <c r="D226" s="48"/>
      <c r="E226" s="48"/>
      <c r="F226" s="48"/>
    </row>
    <row r="227" spans="3:6">
      <c r="C227" s="47"/>
      <c r="D227" s="48"/>
      <c r="E227" s="48"/>
      <c r="F227" s="48"/>
    </row>
    <row r="228" spans="3:6">
      <c r="C228" s="47"/>
      <c r="D228" s="48"/>
      <c r="E228" s="48"/>
      <c r="F228" s="48"/>
    </row>
    <row r="229" spans="3:6">
      <c r="C229" s="47"/>
      <c r="D229" s="48"/>
      <c r="E229" s="48"/>
      <c r="F229" s="48"/>
    </row>
    <row r="230" spans="3:6">
      <c r="C230" s="47"/>
      <c r="D230" s="48"/>
      <c r="E230" s="48"/>
      <c r="F230" s="48"/>
    </row>
    <row r="231" spans="3:6">
      <c r="C231" s="47"/>
      <c r="D231" s="48"/>
      <c r="E231" s="48"/>
      <c r="F231" s="48"/>
    </row>
    <row r="232" spans="3:6">
      <c r="C232" s="47"/>
      <c r="D232" s="48"/>
      <c r="E232" s="48"/>
      <c r="F232" s="48"/>
    </row>
    <row r="233" spans="3:6">
      <c r="C233" s="47"/>
      <c r="D233" s="48"/>
      <c r="E233" s="48"/>
      <c r="F233" s="48"/>
    </row>
    <row r="234" spans="3:6">
      <c r="C234" s="47"/>
      <c r="D234" s="48"/>
      <c r="E234" s="48"/>
      <c r="F234" s="48"/>
    </row>
    <row r="235" spans="3:6">
      <c r="C235" s="47"/>
      <c r="D235" s="48"/>
      <c r="E235" s="48"/>
      <c r="F235" s="48"/>
    </row>
    <row r="236" spans="3:6">
      <c r="C236" s="47"/>
      <c r="D236" s="48"/>
      <c r="E236" s="48"/>
      <c r="F236" s="48"/>
    </row>
    <row r="237" spans="3:6">
      <c r="C237" s="47"/>
      <c r="D237" s="48"/>
      <c r="E237" s="48"/>
      <c r="F237" s="48"/>
    </row>
    <row r="238" spans="3:6">
      <c r="C238" s="47"/>
      <c r="D238" s="48"/>
      <c r="E238" s="48"/>
      <c r="F238" s="48"/>
    </row>
    <row r="239" spans="3:6">
      <c r="C239" s="47"/>
      <c r="D239" s="48"/>
      <c r="E239" s="48"/>
      <c r="F239" s="48"/>
    </row>
    <row r="240" spans="3:6">
      <c r="C240" s="47"/>
      <c r="D240" s="48"/>
      <c r="E240" s="48"/>
      <c r="F240" s="48"/>
    </row>
    <row r="241" spans="3:6">
      <c r="C241" s="47"/>
      <c r="D241" s="48"/>
      <c r="E241" s="48"/>
      <c r="F241" s="48"/>
    </row>
    <row r="242" spans="3:6">
      <c r="C242" s="47"/>
      <c r="D242" s="48"/>
      <c r="E242" s="48"/>
      <c r="F242" s="48"/>
    </row>
    <row r="243" spans="3:6">
      <c r="C243" s="47"/>
      <c r="D243" s="48"/>
      <c r="E243" s="48"/>
      <c r="F243" s="48"/>
    </row>
    <row r="244" spans="3:6">
      <c r="C244" s="47"/>
      <c r="D244" s="48"/>
      <c r="E244" s="48"/>
      <c r="F244" s="48"/>
    </row>
    <row r="245" spans="3:6">
      <c r="C245" s="47"/>
      <c r="D245" s="48"/>
      <c r="E245" s="48"/>
      <c r="F245" s="48"/>
    </row>
    <row r="246" spans="3:6">
      <c r="C246" s="47"/>
      <c r="D246" s="48"/>
      <c r="E246" s="48"/>
      <c r="F246" s="48"/>
    </row>
    <row r="247" spans="3:6">
      <c r="C247" s="47"/>
      <c r="D247" s="48"/>
      <c r="E247" s="48"/>
      <c r="F247" s="48"/>
    </row>
    <row r="248" spans="3:6">
      <c r="C248" s="47"/>
      <c r="D248" s="48"/>
      <c r="E248" s="48"/>
      <c r="F248" s="48"/>
    </row>
    <row r="249" spans="3:6">
      <c r="C249" s="47"/>
      <c r="D249" s="48"/>
      <c r="E249" s="48"/>
      <c r="F249" s="48"/>
    </row>
    <row r="250" spans="3:6">
      <c r="C250" s="47"/>
      <c r="D250" s="48"/>
      <c r="E250" s="48"/>
      <c r="F250" s="48"/>
    </row>
    <row r="251" spans="3:6">
      <c r="C251" s="47"/>
      <c r="D251" s="48"/>
      <c r="E251" s="48"/>
      <c r="F251" s="48"/>
    </row>
    <row r="252" spans="3:6">
      <c r="C252" s="47"/>
      <c r="D252" s="48"/>
      <c r="E252" s="48"/>
      <c r="F252" s="48"/>
    </row>
    <row r="253" spans="3:6">
      <c r="C253" s="47"/>
      <c r="D253" s="48"/>
      <c r="E253" s="48"/>
      <c r="F253" s="48"/>
    </row>
    <row r="254" spans="3:6">
      <c r="C254" s="47"/>
      <c r="D254" s="48"/>
      <c r="E254" s="48"/>
      <c r="F254" s="48"/>
    </row>
    <row r="255" spans="3:6">
      <c r="C255" s="47"/>
      <c r="D255" s="48"/>
      <c r="E255" s="48"/>
      <c r="F255" s="48"/>
    </row>
    <row r="256" spans="3:6">
      <c r="C256" s="47"/>
      <c r="D256" s="48"/>
      <c r="E256" s="48"/>
      <c r="F256" s="48"/>
    </row>
    <row r="257" spans="3:6">
      <c r="C257" s="47"/>
      <c r="D257" s="48"/>
      <c r="E257" s="48"/>
      <c r="F257" s="48"/>
    </row>
    <row r="258" spans="3:6">
      <c r="C258" s="47"/>
      <c r="D258" s="48"/>
      <c r="E258" s="48"/>
      <c r="F258" s="48"/>
    </row>
    <row r="259" spans="3:6">
      <c r="C259" s="47"/>
      <c r="D259" s="48"/>
      <c r="E259" s="48"/>
      <c r="F259" s="48"/>
    </row>
    <row r="260" spans="3:6">
      <c r="C260" s="47"/>
      <c r="D260" s="48"/>
      <c r="E260" s="48"/>
      <c r="F260" s="48"/>
    </row>
    <row r="261" spans="3:6">
      <c r="C261" s="47"/>
      <c r="D261" s="48"/>
      <c r="E261" s="48"/>
      <c r="F261" s="48"/>
    </row>
    <row r="262" spans="3:6">
      <c r="C262" s="47"/>
      <c r="D262" s="48"/>
      <c r="E262" s="48"/>
      <c r="F262" s="48"/>
    </row>
    <row r="263" spans="3:6">
      <c r="C263" s="47"/>
      <c r="D263" s="48"/>
      <c r="E263" s="48"/>
      <c r="F263" s="48"/>
    </row>
    <row r="264" spans="3:6">
      <c r="C264" s="47"/>
      <c r="D264" s="48"/>
      <c r="E264" s="48"/>
      <c r="F264" s="48"/>
    </row>
    <row r="265" spans="3:6">
      <c r="C265" s="47"/>
      <c r="D265" s="48"/>
      <c r="E265" s="48"/>
      <c r="F265" s="48"/>
    </row>
    <row r="266" spans="3:6">
      <c r="C266" s="47"/>
      <c r="D266" s="48"/>
      <c r="E266" s="48"/>
      <c r="F266" s="48"/>
    </row>
    <row r="267" spans="3:6">
      <c r="C267" s="47"/>
      <c r="D267" s="48"/>
      <c r="E267" s="48"/>
      <c r="F267" s="48"/>
    </row>
    <row r="268" spans="3:6">
      <c r="C268" s="47"/>
      <c r="D268" s="48"/>
      <c r="E268" s="48"/>
      <c r="F268" s="48"/>
    </row>
    <row r="269" spans="3:6">
      <c r="C269" s="47"/>
      <c r="D269" s="48"/>
      <c r="E269" s="48"/>
      <c r="F269" s="48"/>
    </row>
    <row r="270" spans="3:6">
      <c r="C270" s="47"/>
      <c r="D270" s="48"/>
      <c r="E270" s="48"/>
      <c r="F270" s="48"/>
    </row>
    <row r="271" spans="3:6">
      <c r="C271" s="47"/>
      <c r="D271" s="48"/>
      <c r="E271" s="48"/>
      <c r="F271" s="48"/>
    </row>
    <row r="272" spans="3:6">
      <c r="C272" s="47"/>
      <c r="D272" s="48"/>
      <c r="E272" s="48"/>
      <c r="F272" s="48"/>
    </row>
    <row r="273" spans="3:6">
      <c r="C273" s="47"/>
      <c r="D273" s="48"/>
      <c r="E273" s="48"/>
      <c r="F273" s="48"/>
    </row>
    <row r="274" spans="3:6">
      <c r="C274" s="47"/>
      <c r="D274" s="48"/>
      <c r="E274" s="48"/>
      <c r="F274" s="48"/>
    </row>
    <row r="275" spans="3:6">
      <c r="C275" s="47"/>
      <c r="D275" s="48"/>
      <c r="E275" s="48"/>
      <c r="F275" s="48"/>
    </row>
    <row r="276" spans="3:6">
      <c r="C276" s="47"/>
      <c r="D276" s="48"/>
      <c r="E276" s="48"/>
      <c r="F276" s="48"/>
    </row>
    <row r="277" spans="3:6">
      <c r="C277" s="47"/>
      <c r="D277" s="48"/>
      <c r="E277" s="48"/>
      <c r="F277" s="48"/>
    </row>
    <row r="278" spans="3:6">
      <c r="C278" s="47"/>
      <c r="D278" s="48"/>
      <c r="E278" s="48"/>
      <c r="F278" s="48"/>
    </row>
    <row r="279" spans="3:6">
      <c r="C279" s="47"/>
      <c r="D279" s="48"/>
      <c r="E279" s="48"/>
      <c r="F279" s="48"/>
    </row>
    <row r="280" spans="3:6">
      <c r="C280" s="47"/>
      <c r="D280" s="48"/>
      <c r="E280" s="48"/>
      <c r="F280" s="48"/>
    </row>
    <row r="281" spans="3:6">
      <c r="C281" s="47"/>
      <c r="D281" s="48"/>
      <c r="E281" s="48"/>
      <c r="F281" s="48"/>
    </row>
    <row r="282" spans="3:6">
      <c r="C282" s="47"/>
      <c r="D282" s="48"/>
      <c r="E282" s="48"/>
      <c r="F282" s="48"/>
    </row>
    <row r="283" spans="3:6">
      <c r="C283" s="47"/>
      <c r="D283" s="48"/>
      <c r="E283" s="48"/>
      <c r="F283" s="48"/>
    </row>
    <row r="284" spans="3:6">
      <c r="C284" s="47"/>
      <c r="D284" s="48"/>
      <c r="E284" s="48"/>
      <c r="F284" s="48"/>
    </row>
    <row r="285" spans="3:6">
      <c r="C285" s="47"/>
      <c r="D285" s="48"/>
      <c r="E285" s="48"/>
      <c r="F285" s="48"/>
    </row>
    <row r="286" spans="3:6">
      <c r="C286" s="47"/>
      <c r="D286" s="48"/>
      <c r="E286" s="48"/>
      <c r="F286" s="48"/>
    </row>
    <row r="287" spans="3:6">
      <c r="C287" s="47"/>
      <c r="D287" s="48"/>
      <c r="E287" s="48"/>
      <c r="F287" s="48"/>
    </row>
    <row r="288" spans="3:6">
      <c r="C288" s="47"/>
      <c r="D288" s="48"/>
      <c r="E288" s="48"/>
      <c r="F288" s="48"/>
    </row>
    <row r="289" spans="3:6">
      <c r="C289" s="47"/>
      <c r="D289" s="48"/>
      <c r="E289" s="48"/>
      <c r="F289" s="48"/>
    </row>
    <row r="290" spans="3:6">
      <c r="C290" s="47"/>
      <c r="D290" s="48"/>
      <c r="E290" s="48"/>
      <c r="F290" s="48"/>
    </row>
    <row r="291" spans="3:6">
      <c r="C291" s="47"/>
      <c r="D291" s="48"/>
      <c r="E291" s="48"/>
      <c r="F291" s="48"/>
    </row>
    <row r="292" spans="3:6">
      <c r="C292" s="47"/>
      <c r="D292" s="48"/>
      <c r="E292" s="48"/>
      <c r="F292" s="48"/>
    </row>
    <row r="293" spans="3:6">
      <c r="C293" s="47"/>
      <c r="D293" s="48"/>
      <c r="E293" s="48"/>
      <c r="F293" s="48"/>
    </row>
    <row r="294" spans="3:6">
      <c r="C294" s="47"/>
      <c r="D294" s="48"/>
      <c r="E294" s="48"/>
      <c r="F294" s="48"/>
    </row>
    <row r="295" spans="3:6">
      <c r="C295" s="47"/>
      <c r="D295" s="48"/>
      <c r="E295" s="48"/>
      <c r="F295" s="48"/>
    </row>
    <row r="296" spans="3:6">
      <c r="C296" s="47"/>
      <c r="D296" s="48"/>
      <c r="E296" s="48"/>
      <c r="F296" s="48"/>
    </row>
    <row r="297" spans="3:6">
      <c r="C297" s="47"/>
      <c r="D297" s="48"/>
      <c r="E297" s="48"/>
      <c r="F297" s="48"/>
    </row>
    <row r="298" spans="3:6">
      <c r="C298" s="47"/>
      <c r="D298" s="48"/>
      <c r="E298" s="48"/>
      <c r="F298" s="48"/>
    </row>
    <row r="299" spans="3:6">
      <c r="C299" s="47"/>
      <c r="D299" s="48"/>
      <c r="E299" s="48"/>
      <c r="F299" s="48"/>
    </row>
    <row r="300" spans="3:6">
      <c r="C300" s="47"/>
      <c r="D300" s="48"/>
      <c r="E300" s="48"/>
      <c r="F300" s="48"/>
    </row>
    <row r="301" spans="3:6">
      <c r="C301" s="47"/>
      <c r="D301" s="48"/>
      <c r="E301" s="48"/>
      <c r="F301" s="48"/>
    </row>
    <row r="302" spans="3:6">
      <c r="C302" s="47"/>
      <c r="D302" s="48"/>
      <c r="E302" s="48"/>
      <c r="F302" s="48"/>
    </row>
    <row r="303" spans="3:6">
      <c r="C303" s="47"/>
      <c r="D303" s="48"/>
      <c r="E303" s="48"/>
      <c r="F303" s="48"/>
    </row>
    <row r="304" spans="3:6">
      <c r="C304" s="47"/>
      <c r="D304" s="48"/>
      <c r="E304" s="48"/>
      <c r="F304" s="48"/>
    </row>
    <row r="305" spans="3:6">
      <c r="C305" s="47"/>
      <c r="D305" s="48"/>
      <c r="E305" s="48"/>
      <c r="F305" s="48"/>
    </row>
    <row r="306" spans="3:6">
      <c r="C306" s="47"/>
      <c r="D306" s="48"/>
      <c r="E306" s="48"/>
      <c r="F306" s="48"/>
    </row>
    <row r="307" spans="3:6">
      <c r="C307" s="47"/>
      <c r="D307" s="48"/>
      <c r="E307" s="48"/>
      <c r="F307" s="48"/>
    </row>
    <row r="308" spans="3:6">
      <c r="C308" s="47"/>
      <c r="D308" s="48"/>
      <c r="E308" s="48"/>
      <c r="F308" s="48"/>
    </row>
    <row r="309" spans="3:6">
      <c r="C309" s="47"/>
      <c r="D309" s="48"/>
      <c r="E309" s="48"/>
      <c r="F309" s="48"/>
    </row>
    <row r="310" spans="3:6">
      <c r="C310" s="47"/>
      <c r="D310" s="48"/>
      <c r="E310" s="48"/>
      <c r="F310" s="48"/>
    </row>
    <row r="311" spans="3:6">
      <c r="C311" s="47"/>
      <c r="D311" s="48"/>
      <c r="E311" s="48"/>
      <c r="F311" s="48"/>
    </row>
    <row r="312" spans="3:6">
      <c r="C312" s="47"/>
      <c r="D312" s="48"/>
      <c r="E312" s="48"/>
      <c r="F312" s="48"/>
    </row>
    <row r="313" spans="3:6">
      <c r="C313" s="47"/>
      <c r="D313" s="48"/>
      <c r="E313" s="48"/>
      <c r="F313" s="48"/>
    </row>
    <row r="314" spans="3:6">
      <c r="C314" s="47"/>
      <c r="D314" s="48"/>
      <c r="E314" s="48"/>
      <c r="F314" s="48"/>
    </row>
    <row r="315" spans="3:6">
      <c r="C315" s="47"/>
      <c r="D315" s="48"/>
      <c r="E315" s="48"/>
      <c r="F315" s="48"/>
    </row>
    <row r="316" spans="3:6">
      <c r="C316" s="47"/>
      <c r="D316" s="48"/>
      <c r="E316" s="48"/>
      <c r="F316" s="48"/>
    </row>
    <row r="317" spans="3:6">
      <c r="C317" s="47"/>
      <c r="D317" s="48"/>
      <c r="E317" s="48"/>
      <c r="F317" s="48"/>
    </row>
    <row r="318" spans="3:6">
      <c r="C318" s="47"/>
      <c r="D318" s="48"/>
      <c r="E318" s="48"/>
      <c r="F318" s="48"/>
    </row>
    <row r="319" spans="3:6">
      <c r="C319" s="47"/>
      <c r="D319" s="48"/>
      <c r="E319" s="48"/>
      <c r="F319" s="48"/>
    </row>
    <row r="320" spans="3:6">
      <c r="C320" s="47"/>
      <c r="D320" s="48"/>
      <c r="E320" s="48"/>
      <c r="F320" s="48"/>
    </row>
    <row r="321" spans="3:6">
      <c r="C321" s="47"/>
      <c r="D321" s="48"/>
      <c r="E321" s="48"/>
      <c r="F321" s="48"/>
    </row>
    <row r="322" spans="3:6">
      <c r="C322" s="47"/>
      <c r="D322" s="48"/>
      <c r="E322" s="48"/>
      <c r="F322" s="48"/>
    </row>
    <row r="323" spans="3:6">
      <c r="C323" s="47"/>
      <c r="D323" s="48"/>
      <c r="E323" s="48"/>
      <c r="F323" s="48"/>
    </row>
    <row r="324" spans="3:6">
      <c r="C324" s="47"/>
      <c r="D324" s="48"/>
      <c r="E324" s="48"/>
      <c r="F324" s="48"/>
    </row>
    <row r="325" spans="3:6">
      <c r="C325" s="47"/>
      <c r="D325" s="48"/>
      <c r="E325" s="48"/>
      <c r="F325" s="48"/>
    </row>
    <row r="326" spans="3:6">
      <c r="C326" s="47"/>
      <c r="D326" s="48"/>
      <c r="E326" s="48"/>
      <c r="F326" s="48"/>
    </row>
    <row r="327" spans="3:6">
      <c r="C327" s="47"/>
      <c r="D327" s="48"/>
      <c r="E327" s="48"/>
      <c r="F327" s="48"/>
    </row>
    <row r="328" spans="3:6">
      <c r="C328" s="47"/>
      <c r="D328" s="48"/>
      <c r="E328" s="48"/>
      <c r="F328" s="48"/>
    </row>
    <row r="329" spans="3:6">
      <c r="C329" s="47"/>
      <c r="D329" s="48"/>
      <c r="E329" s="48"/>
      <c r="F329" s="48"/>
    </row>
    <row r="330" spans="3:6">
      <c r="C330" s="47"/>
      <c r="D330" s="48"/>
      <c r="E330" s="48"/>
      <c r="F330" s="48"/>
    </row>
    <row r="331" spans="3:6">
      <c r="C331" s="47"/>
      <c r="D331" s="48"/>
      <c r="E331" s="48"/>
      <c r="F331" s="48"/>
    </row>
    <row r="332" spans="3:6">
      <c r="C332" s="47"/>
      <c r="D332" s="48"/>
      <c r="E332" s="48"/>
      <c r="F332" s="48"/>
    </row>
    <row r="333" spans="3:6">
      <c r="C333" s="47"/>
      <c r="D333" s="48"/>
      <c r="E333" s="48"/>
      <c r="F333" s="48"/>
    </row>
    <row r="334" spans="3:6">
      <c r="C334" s="47"/>
      <c r="D334" s="48"/>
      <c r="E334" s="48"/>
      <c r="F334" s="48"/>
    </row>
    <row r="335" spans="3:6">
      <c r="C335" s="47"/>
      <c r="D335" s="48"/>
      <c r="E335" s="48"/>
      <c r="F335" s="48"/>
    </row>
    <row r="336" spans="3:6">
      <c r="C336" s="47"/>
      <c r="D336" s="48"/>
      <c r="E336" s="48"/>
      <c r="F336" s="48"/>
    </row>
    <row r="337" spans="3:6">
      <c r="C337" s="47"/>
      <c r="D337" s="48"/>
      <c r="E337" s="48"/>
      <c r="F337" s="48"/>
    </row>
    <row r="338" spans="3:6">
      <c r="C338" s="47"/>
      <c r="D338" s="48"/>
      <c r="E338" s="48"/>
      <c r="F338" s="48"/>
    </row>
    <row r="339" spans="3:6">
      <c r="C339" s="47"/>
      <c r="D339" s="48"/>
      <c r="E339" s="48"/>
      <c r="F339" s="48"/>
    </row>
    <row r="340" spans="3:6">
      <c r="C340" s="47"/>
      <c r="D340" s="48"/>
      <c r="E340" s="48"/>
      <c r="F340" s="48"/>
    </row>
    <row r="341" spans="3:6">
      <c r="C341" s="47"/>
      <c r="D341" s="48"/>
      <c r="E341" s="48"/>
      <c r="F341" s="48"/>
    </row>
    <row r="342" spans="3:6">
      <c r="C342" s="47"/>
      <c r="D342" s="48"/>
      <c r="E342" s="48"/>
      <c r="F342" s="48"/>
    </row>
    <row r="343" spans="3:6">
      <c r="C343" s="47"/>
      <c r="D343" s="48"/>
      <c r="E343" s="48"/>
      <c r="F343" s="48"/>
    </row>
    <row r="344" spans="3:6">
      <c r="C344" s="47"/>
      <c r="D344" s="48"/>
      <c r="E344" s="48"/>
      <c r="F344" s="48"/>
    </row>
    <row r="345" spans="3:6">
      <c r="C345" s="47"/>
      <c r="D345" s="48"/>
      <c r="E345" s="48"/>
      <c r="F345" s="48"/>
    </row>
    <row r="346" spans="3:6">
      <c r="C346" s="47"/>
      <c r="D346" s="48"/>
      <c r="E346" s="48"/>
      <c r="F346" s="48"/>
    </row>
    <row r="347" spans="3:6">
      <c r="C347" s="47"/>
      <c r="D347" s="48"/>
      <c r="E347" s="48"/>
      <c r="F347" s="48"/>
    </row>
    <row r="348" spans="3:6">
      <c r="C348" s="47"/>
      <c r="D348" s="48"/>
      <c r="E348" s="48"/>
      <c r="F348" s="48"/>
    </row>
    <row r="349" spans="3:6">
      <c r="C349" s="47"/>
      <c r="D349" s="48"/>
      <c r="E349" s="48"/>
      <c r="F349" s="48"/>
    </row>
    <row r="350" spans="3:6">
      <c r="C350" s="47"/>
      <c r="D350" s="48"/>
      <c r="E350" s="48"/>
      <c r="F350" s="48"/>
    </row>
    <row r="351" spans="3:6">
      <c r="C351" s="47"/>
      <c r="D351" s="48"/>
      <c r="E351" s="48"/>
      <c r="F351" s="48"/>
    </row>
    <row r="352" spans="3:6">
      <c r="C352" s="47"/>
      <c r="D352" s="48"/>
      <c r="E352" s="48"/>
      <c r="F352" s="48"/>
    </row>
    <row r="353" spans="3:6">
      <c r="C353" s="47"/>
      <c r="D353" s="48"/>
      <c r="E353" s="48"/>
      <c r="F353" s="48"/>
    </row>
    <row r="354" spans="3:6">
      <c r="C354" s="47"/>
      <c r="D354" s="48"/>
      <c r="E354" s="48"/>
      <c r="F354" s="48"/>
    </row>
    <row r="355" spans="3:6">
      <c r="C355" s="47"/>
      <c r="D355" s="48"/>
      <c r="E355" s="48"/>
      <c r="F355" s="48"/>
    </row>
    <row r="356" spans="3:6">
      <c r="C356" s="47"/>
      <c r="D356" s="48"/>
      <c r="E356" s="48"/>
      <c r="F356" s="48"/>
    </row>
    <row r="357" spans="3:6">
      <c r="C357" s="47"/>
      <c r="D357" s="48"/>
      <c r="E357" s="48"/>
      <c r="F357" s="48"/>
    </row>
    <row r="358" spans="3:6">
      <c r="C358" s="47"/>
      <c r="D358" s="48"/>
      <c r="E358" s="48"/>
      <c r="F358" s="48"/>
    </row>
    <row r="359" spans="3:6">
      <c r="C359" s="47"/>
      <c r="D359" s="48"/>
      <c r="E359" s="48"/>
      <c r="F359" s="48"/>
    </row>
    <row r="360" spans="3:6">
      <c r="C360" s="47"/>
      <c r="D360" s="48"/>
      <c r="E360" s="48"/>
      <c r="F360" s="48"/>
    </row>
    <row r="361" spans="3:6">
      <c r="C361" s="47"/>
      <c r="D361" s="48"/>
      <c r="E361" s="48"/>
      <c r="F361" s="48"/>
    </row>
    <row r="362" spans="3:6">
      <c r="C362" s="47"/>
      <c r="D362" s="48"/>
      <c r="E362" s="48"/>
      <c r="F362" s="48"/>
    </row>
    <row r="363" spans="3:6">
      <c r="C363" s="47"/>
      <c r="D363" s="48"/>
      <c r="E363" s="48"/>
      <c r="F363" s="48"/>
    </row>
    <row r="364" spans="3:6">
      <c r="C364" s="47"/>
      <c r="D364" s="48"/>
      <c r="E364" s="48"/>
      <c r="F364" s="48"/>
    </row>
    <row r="365" spans="3:6">
      <c r="C365" s="47"/>
      <c r="D365" s="48"/>
      <c r="E365" s="48"/>
      <c r="F365" s="48"/>
    </row>
    <row r="366" spans="3:6">
      <c r="C366" s="47"/>
      <c r="D366" s="48"/>
      <c r="E366" s="48"/>
      <c r="F366" s="48"/>
    </row>
    <row r="367" spans="3:6">
      <c r="C367" s="47"/>
      <c r="D367" s="48"/>
      <c r="E367" s="48"/>
      <c r="F367" s="48"/>
    </row>
    <row r="368" spans="3:6">
      <c r="C368" s="47"/>
      <c r="D368" s="48"/>
      <c r="E368" s="48"/>
      <c r="F368" s="48"/>
    </row>
    <row r="369" spans="3:6">
      <c r="C369" s="47"/>
      <c r="D369" s="48"/>
      <c r="E369" s="48"/>
      <c r="F369" s="48"/>
    </row>
    <row r="370" spans="3:6">
      <c r="C370" s="47"/>
      <c r="D370" s="48"/>
      <c r="E370" s="48"/>
      <c r="F370" s="48"/>
    </row>
    <row r="371" spans="3:6">
      <c r="C371" s="47"/>
      <c r="D371" s="48"/>
      <c r="E371" s="48"/>
      <c r="F371" s="48"/>
    </row>
    <row r="372" spans="3:6">
      <c r="C372" s="47"/>
      <c r="D372" s="48"/>
      <c r="E372" s="48"/>
      <c r="F372" s="48"/>
    </row>
    <row r="373" spans="3:6">
      <c r="C373" s="47"/>
      <c r="D373" s="48"/>
      <c r="E373" s="48"/>
      <c r="F373" s="48"/>
    </row>
    <row r="374" spans="3:6">
      <c r="C374" s="47"/>
      <c r="D374" s="48"/>
      <c r="E374" s="48"/>
      <c r="F374" s="48"/>
    </row>
    <row r="375" spans="3:6">
      <c r="C375" s="47"/>
      <c r="D375" s="48"/>
      <c r="E375" s="48"/>
      <c r="F375" s="48"/>
    </row>
    <row r="376" spans="3:6">
      <c r="C376" s="47"/>
      <c r="D376" s="48"/>
      <c r="E376" s="48"/>
      <c r="F376" s="48"/>
    </row>
    <row r="377" spans="3:6">
      <c r="C377" s="47"/>
      <c r="D377" s="48"/>
      <c r="E377" s="48"/>
      <c r="F377" s="48"/>
    </row>
    <row r="378" spans="3:6">
      <c r="C378" s="47"/>
      <c r="D378" s="48"/>
      <c r="E378" s="48"/>
      <c r="F378" s="48"/>
    </row>
    <row r="379" spans="3:6">
      <c r="C379" s="47"/>
      <c r="D379" s="48"/>
      <c r="E379" s="48"/>
      <c r="F379" s="48"/>
    </row>
    <row r="380" spans="3:6">
      <c r="C380" s="47"/>
      <c r="D380" s="48"/>
      <c r="E380" s="48"/>
      <c r="F380" s="48"/>
    </row>
    <row r="381" spans="3:6">
      <c r="C381" s="47"/>
      <c r="D381" s="48"/>
      <c r="E381" s="48"/>
      <c r="F381" s="48"/>
    </row>
    <row r="382" spans="3:6">
      <c r="C382" s="47"/>
      <c r="D382" s="48"/>
      <c r="E382" s="48"/>
      <c r="F382" s="48"/>
    </row>
    <row r="383" spans="3:6">
      <c r="C383" s="47"/>
      <c r="D383" s="48"/>
      <c r="E383" s="48"/>
      <c r="F383" s="48"/>
    </row>
    <row r="384" spans="3:6">
      <c r="C384" s="47"/>
      <c r="D384" s="48"/>
      <c r="E384" s="48"/>
      <c r="F384" s="48"/>
    </row>
    <row r="385" spans="3:6">
      <c r="C385" s="47"/>
      <c r="D385" s="48"/>
      <c r="E385" s="48"/>
      <c r="F385" s="48"/>
    </row>
    <row r="386" spans="3:6">
      <c r="C386" s="47"/>
      <c r="D386" s="48"/>
      <c r="E386" s="48"/>
      <c r="F386" s="48"/>
    </row>
    <row r="387" spans="3:6">
      <c r="C387" s="47"/>
      <c r="D387" s="48"/>
      <c r="E387" s="48"/>
      <c r="F387" s="48"/>
    </row>
    <row r="388" spans="3:6">
      <c r="C388" s="47"/>
      <c r="D388" s="48"/>
      <c r="E388" s="48"/>
      <c r="F388" s="48"/>
    </row>
    <row r="389" spans="3:6">
      <c r="C389" s="47"/>
      <c r="D389" s="48"/>
      <c r="E389" s="48"/>
      <c r="F389" s="48"/>
    </row>
    <row r="390" spans="3:6">
      <c r="C390" s="47"/>
      <c r="D390" s="48"/>
      <c r="E390" s="48"/>
      <c r="F390" s="48"/>
    </row>
    <row r="391" spans="3:6">
      <c r="C391" s="47"/>
      <c r="D391" s="48"/>
      <c r="E391" s="48"/>
      <c r="F391" s="48"/>
    </row>
    <row r="392" spans="3:6">
      <c r="C392" s="47"/>
      <c r="D392" s="48"/>
      <c r="E392" s="48"/>
      <c r="F392" s="48"/>
    </row>
    <row r="393" spans="3:6">
      <c r="C393" s="47"/>
      <c r="D393" s="48"/>
      <c r="E393" s="48"/>
      <c r="F393" s="48"/>
    </row>
    <row r="394" spans="3:6">
      <c r="C394" s="47"/>
      <c r="D394" s="48"/>
      <c r="E394" s="48"/>
      <c r="F394" s="48"/>
    </row>
    <row r="395" spans="3:6">
      <c r="C395" s="47"/>
      <c r="D395" s="48"/>
      <c r="E395" s="48"/>
      <c r="F395" s="48"/>
    </row>
    <row r="396" spans="3:6">
      <c r="C396" s="47"/>
      <c r="D396" s="48"/>
      <c r="E396" s="48"/>
      <c r="F396" s="48"/>
    </row>
    <row r="397" spans="3:6">
      <c r="C397" s="47"/>
      <c r="D397" s="48"/>
      <c r="E397" s="48"/>
      <c r="F397" s="48"/>
    </row>
    <row r="398" spans="3:6">
      <c r="C398" s="47"/>
      <c r="D398" s="48"/>
      <c r="E398" s="48"/>
      <c r="F398" s="48"/>
    </row>
    <row r="399" spans="3:6">
      <c r="C399" s="47"/>
      <c r="D399" s="48"/>
      <c r="E399" s="48"/>
      <c r="F399" s="48"/>
    </row>
    <row r="400" spans="3:6">
      <c r="C400" s="47"/>
      <c r="D400" s="48"/>
      <c r="E400" s="48"/>
      <c r="F400" s="48"/>
    </row>
    <row r="401" spans="3:6">
      <c r="C401" s="47"/>
      <c r="D401" s="48"/>
      <c r="E401" s="48"/>
      <c r="F401" s="48"/>
    </row>
    <row r="402" spans="3:6">
      <c r="C402" s="47"/>
      <c r="D402" s="48"/>
      <c r="E402" s="48"/>
      <c r="F402" s="48"/>
    </row>
    <row r="403" spans="3:6">
      <c r="C403" s="47"/>
      <c r="D403" s="48"/>
      <c r="E403" s="48"/>
      <c r="F403" s="48"/>
    </row>
    <row r="404" spans="3:6">
      <c r="C404" s="47"/>
      <c r="D404" s="48"/>
      <c r="E404" s="48"/>
      <c r="F404" s="48"/>
    </row>
    <row r="405" spans="3:6">
      <c r="C405" s="47"/>
      <c r="D405" s="48"/>
      <c r="E405" s="48"/>
      <c r="F405" s="48"/>
    </row>
    <row r="406" spans="3:6">
      <c r="C406" s="47"/>
      <c r="D406" s="48"/>
      <c r="E406" s="48"/>
      <c r="F406" s="48"/>
    </row>
    <row r="407" spans="3:6">
      <c r="C407" s="47"/>
      <c r="D407" s="48"/>
      <c r="E407" s="48"/>
      <c r="F407" s="48"/>
    </row>
    <row r="408" spans="3:6">
      <c r="C408" s="47"/>
      <c r="D408" s="48"/>
      <c r="E408" s="48"/>
      <c r="F408" s="48"/>
    </row>
    <row r="409" spans="3:6">
      <c r="C409" s="47"/>
      <c r="D409" s="48"/>
      <c r="E409" s="48"/>
      <c r="F409" s="48"/>
    </row>
    <row r="410" spans="3:6">
      <c r="C410" s="47"/>
      <c r="D410" s="48"/>
      <c r="E410" s="48"/>
      <c r="F410" s="48"/>
    </row>
    <row r="411" spans="3:6">
      <c r="C411" s="47"/>
      <c r="D411" s="48"/>
      <c r="E411" s="48"/>
      <c r="F411" s="48"/>
    </row>
    <row r="412" spans="3:6">
      <c r="C412" s="47"/>
      <c r="D412" s="48"/>
      <c r="E412" s="48"/>
      <c r="F412" s="48"/>
    </row>
    <row r="413" spans="3:6">
      <c r="C413" s="47"/>
      <c r="D413" s="48"/>
      <c r="E413" s="48"/>
      <c r="F413" s="48"/>
    </row>
  </sheetData>
  <phoneticPr fontId="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65"/>
  <sheetViews>
    <sheetView topLeftCell="A31" workbookViewId="0">
      <selection activeCell="C65" activeCellId="1" sqref="A2:A65 C2:C65"/>
    </sheetView>
  </sheetViews>
  <sheetFormatPr defaultRowHeight="12.75"/>
  <sheetData>
    <row r="1" spans="1:15">
      <c r="A1" t="s">
        <v>50</v>
      </c>
      <c r="B1" t="s">
        <v>129</v>
      </c>
      <c r="C1" t="s">
        <v>144</v>
      </c>
      <c r="E1">
        <v>1</v>
      </c>
      <c r="F1">
        <v>2</v>
      </c>
      <c r="G1">
        <v>3</v>
      </c>
      <c r="H1">
        <v>4</v>
      </c>
      <c r="K1">
        <f t="array" ref="K1:O4">LINEST(I2:I10,E2:H10,1,1)</f>
        <v>-1.5451965368644613E-9</v>
      </c>
      <c r="L1">
        <v>3.3225833490394817E-6</v>
      </c>
      <c r="M1">
        <v>-2.6131282955150878E-3</v>
      </c>
      <c r="N1">
        <v>0.8860918436375752</v>
      </c>
      <c r="O1">
        <v>-108.19713679183957</v>
      </c>
    </row>
    <row r="2" spans="1:15">
      <c r="A2">
        <v>400</v>
      </c>
      <c r="B2">
        <f>$K$1*Lambda^4+$L$1*Lambda^3+$M$1*Lambda^2+$N$1*Lambda+$O$1</f>
        <v>1.2273763755730442</v>
      </c>
      <c r="C2">
        <f t="array" ref="C2:C65">bpstar555*((555/Lambda)^eta-cphistar*bphin)</f>
        <v>1.353822497035545</v>
      </c>
      <c r="E2">
        <v>412</v>
      </c>
      <c r="F2">
        <f>$E2^F$1</f>
        <v>169744</v>
      </c>
      <c r="G2">
        <f>$E2^G$1</f>
        <v>69934528</v>
      </c>
      <c r="H2">
        <f>$E2^H$1</f>
        <v>28813025536</v>
      </c>
      <c r="I2">
        <v>1.2</v>
      </c>
      <c r="J2">
        <f>$K$1*H2+$L$1*G2+$M$1*F2+$N$1*E2+$O$1</f>
        <v>1.1513643738493045</v>
      </c>
      <c r="K2">
        <v>7.4013768493588597E-10</v>
      </c>
      <c r="L2">
        <v>1.6842218472481053E-6</v>
      </c>
      <c r="M2">
        <v>1.4208343670293168E-3</v>
      </c>
      <c r="N2">
        <v>0.52623538012427151</v>
      </c>
      <c r="O2">
        <v>72.152622401867916</v>
      </c>
    </row>
    <row r="3" spans="1:15">
      <c r="A3">
        <v>405</v>
      </c>
      <c r="B3">
        <f t="shared" ref="B3:B65" si="0">$K$1*Lambda^4+$L$1*Lambda^3+$M$1*Lambda^2+$N$1*Lambda+$O$1</f>
        <v>1.1990407762708344</v>
      </c>
      <c r="C3">
        <v>1.3414509522852851</v>
      </c>
      <c r="E3">
        <v>440</v>
      </c>
      <c r="F3">
        <f t="shared" ref="F3:H10" si="1">$E3^F$1</f>
        <v>193600</v>
      </c>
      <c r="G3">
        <f t="shared" si="1"/>
        <v>85184000</v>
      </c>
      <c r="H3">
        <f t="shared" si="1"/>
        <v>37480960000</v>
      </c>
      <c r="I3">
        <v>0.79500000000000004</v>
      </c>
      <c r="J3">
        <f t="shared" ref="J3:J10" si="2">$K$1*H3+$L$1*G3+$M$1*F3+$N$1*E3+$O$1</f>
        <v>0.89712681119641502</v>
      </c>
      <c r="K3">
        <v>0.95642705811454265</v>
      </c>
      <c r="L3">
        <v>0.11175227072558096</v>
      </c>
      <c r="M3" t="e">
        <v>#N/A</v>
      </c>
      <c r="N3" t="e">
        <v>#N/A</v>
      </c>
      <c r="O3" t="e">
        <v>#N/A</v>
      </c>
    </row>
    <row r="4" spans="1:15">
      <c r="A4">
        <v>410</v>
      </c>
      <c r="B4">
        <f t="shared" si="0"/>
        <v>1.1658585105635666</v>
      </c>
      <c r="C4">
        <v>1.3293421953815798</v>
      </c>
      <c r="E4">
        <v>488</v>
      </c>
      <c r="F4">
        <f t="shared" si="1"/>
        <v>238144</v>
      </c>
      <c r="G4">
        <f t="shared" si="1"/>
        <v>116214272</v>
      </c>
      <c r="H4">
        <f t="shared" si="1"/>
        <v>56712564736</v>
      </c>
      <c r="I4">
        <v>0.44</v>
      </c>
      <c r="J4">
        <f t="shared" si="2"/>
        <v>0.41440453732849392</v>
      </c>
      <c r="K4">
        <v>21.950022576597156</v>
      </c>
      <c r="L4">
        <v>4</v>
      </c>
      <c r="M4" t="e">
        <v>#N/A</v>
      </c>
      <c r="N4" t="e">
        <v>#N/A</v>
      </c>
      <c r="O4" t="e">
        <v>#N/A</v>
      </c>
    </row>
    <row r="5" spans="1:15">
      <c r="A5">
        <v>415</v>
      </c>
      <c r="B5">
        <f t="shared" si="0"/>
        <v>1.1284325131966852</v>
      </c>
      <c r="C5">
        <v>1.3174875405645348</v>
      </c>
      <c r="E5">
        <v>510</v>
      </c>
      <c r="F5">
        <f t="shared" si="1"/>
        <v>260100</v>
      </c>
      <c r="G5">
        <f t="shared" si="1"/>
        <v>132651000</v>
      </c>
      <c r="H5">
        <f t="shared" si="1"/>
        <v>67652010000</v>
      </c>
      <c r="I5">
        <v>0.3</v>
      </c>
      <c r="J5">
        <f t="shared" si="2"/>
        <v>0.24338606936578344</v>
      </c>
    </row>
    <row r="6" spans="1:15">
      <c r="A6">
        <v>420</v>
      </c>
      <c r="B6">
        <f t="shared" si="0"/>
        <v>1.0873425409676543</v>
      </c>
      <c r="C6">
        <v>1.3058786893013532</v>
      </c>
      <c r="E6">
        <v>532</v>
      </c>
      <c r="F6">
        <f t="shared" si="1"/>
        <v>283024</v>
      </c>
      <c r="G6">
        <f t="shared" si="1"/>
        <v>150568768</v>
      </c>
      <c r="H6">
        <f t="shared" si="1"/>
        <v>80102584576</v>
      </c>
      <c r="I6">
        <v>0.18</v>
      </c>
      <c r="J6">
        <f t="shared" si="2"/>
        <v>0.12874647494913916</v>
      </c>
    </row>
    <row r="7" spans="1:15">
      <c r="A7">
        <v>425</v>
      </c>
      <c r="B7">
        <f t="shared" si="0"/>
        <v>1.043145172725815</v>
      </c>
      <c r="C7">
        <v>1.294507708663704</v>
      </c>
      <c r="E7">
        <v>555</v>
      </c>
      <c r="F7">
        <f t="shared" si="1"/>
        <v>308025</v>
      </c>
      <c r="G7">
        <f t="shared" si="1"/>
        <v>170953875</v>
      </c>
      <c r="H7">
        <f t="shared" si="1"/>
        <v>94879400625</v>
      </c>
      <c r="I7">
        <v>0</v>
      </c>
      <c r="J7">
        <f t="shared" si="2"/>
        <v>7.6170464230870039E-2</v>
      </c>
    </row>
    <row r="8" spans="1:15">
      <c r="A8">
        <v>430</v>
      </c>
      <c r="B8">
        <f t="shared" si="0"/>
        <v>0.99637380937252829</v>
      </c>
      <c r="C8">
        <v>1.2833670111502473</v>
      </c>
      <c r="E8">
        <v>650</v>
      </c>
      <c r="F8">
        <f t="shared" si="1"/>
        <v>422500</v>
      </c>
      <c r="G8">
        <f t="shared" si="1"/>
        <v>274625000</v>
      </c>
      <c r="H8">
        <f t="shared" si="1"/>
        <v>178506250000</v>
      </c>
      <c r="I8">
        <v>0.26</v>
      </c>
      <c r="J8">
        <f t="shared" si="2"/>
        <v>0.35306963876570308</v>
      </c>
    </row>
    <row r="9" spans="1:15">
      <c r="A9">
        <v>435</v>
      </c>
      <c r="B9">
        <f t="shared" si="0"/>
        <v>0.9475386738610041</v>
      </c>
      <c r="C9">
        <v>1.2724493358422015</v>
      </c>
      <c r="E9">
        <v>676</v>
      </c>
      <c r="F9">
        <f t="shared" si="1"/>
        <v>456976</v>
      </c>
      <c r="G9">
        <f t="shared" si="1"/>
        <v>308915776</v>
      </c>
      <c r="H9">
        <f t="shared" si="1"/>
        <v>208827064576</v>
      </c>
      <c r="I9">
        <v>0.50640189294897775</v>
      </c>
      <c r="J9">
        <f t="shared" si="2"/>
        <v>0.38359014266228542</v>
      </c>
    </row>
    <row r="10" spans="1:15">
      <c r="A10">
        <v>440</v>
      </c>
      <c r="B10">
        <f t="shared" si="0"/>
        <v>0.89712681119641502</v>
      </c>
      <c r="C10">
        <v>1.2617477307897189</v>
      </c>
      <c r="E10">
        <v>715</v>
      </c>
      <c r="F10">
        <f t="shared" si="1"/>
        <v>511225</v>
      </c>
      <c r="G10">
        <f t="shared" si="1"/>
        <v>365525875</v>
      </c>
      <c r="H10">
        <f t="shared" si="1"/>
        <v>261351000625</v>
      </c>
      <c r="I10">
        <v>0.08</v>
      </c>
      <c r="J10">
        <f t="shared" si="2"/>
        <v>0.11354338060124292</v>
      </c>
    </row>
    <row r="11" spans="1:15">
      <c r="A11">
        <v>445</v>
      </c>
      <c r="B11">
        <f t="shared" si="0"/>
        <v>0.84560208843589635</v>
      </c>
      <c r="C11">
        <v>1.251255536535731</v>
      </c>
    </row>
    <row r="12" spans="1:15">
      <c r="A12">
        <v>450</v>
      </c>
      <c r="B12">
        <f t="shared" si="0"/>
        <v>0.7934051946884324</v>
      </c>
      <c r="C12">
        <v>1.2409663706919702</v>
      </c>
    </row>
    <row r="13" spans="1:15">
      <c r="A13">
        <v>455</v>
      </c>
      <c r="B13">
        <f t="shared" si="0"/>
        <v>0.7409536411153681</v>
      </c>
      <c r="C13">
        <v>1.2308741134891319</v>
      </c>
    </row>
    <row r="14" spans="1:15">
      <c r="A14">
        <v>460</v>
      </c>
      <c r="B14">
        <f t="shared" si="0"/>
        <v>0.68864176092949947</v>
      </c>
      <c r="C14">
        <v>1.2209728942297231</v>
      </c>
    </row>
    <row r="15" spans="1:15">
      <c r="A15">
        <v>465</v>
      </c>
      <c r="B15">
        <f t="shared" si="0"/>
        <v>0.63684070939564208</v>
      </c>
      <c r="C15">
        <v>1.2112570785780883</v>
      </c>
    </row>
    <row r="16" spans="1:15">
      <c r="A16">
        <v>470</v>
      </c>
      <c r="B16">
        <f t="shared" si="0"/>
        <v>0.58589846383085842</v>
      </c>
      <c r="C16">
        <v>1.2017212566275126</v>
      </c>
    </row>
    <row r="17" spans="1:3">
      <c r="A17">
        <v>475</v>
      </c>
      <c r="B17">
        <f t="shared" si="0"/>
        <v>0.53613982360400314</v>
      </c>
      <c r="C17">
        <v>1.1923602316892032</v>
      </c>
    </row>
    <row r="18" spans="1:3">
      <c r="A18">
        <v>480</v>
      </c>
      <c r="B18">
        <f t="shared" si="0"/>
        <v>0.48786641013572307</v>
      </c>
      <c r="C18">
        <v>1.1831690097523988</v>
      </c>
    </row>
    <row r="19" spans="1:3">
      <c r="A19">
        <v>485</v>
      </c>
      <c r="B19">
        <f t="shared" si="0"/>
        <v>0.44135666689874142</v>
      </c>
      <c r="C19">
        <v>1.1741427895689258</v>
      </c>
    </row>
    <row r="20" spans="1:3">
      <c r="A20">
        <v>490</v>
      </c>
      <c r="B20">
        <f t="shared" si="0"/>
        <v>0.39686585941791463</v>
      </c>
      <c r="C20">
        <v>1.165276953319196</v>
      </c>
    </row>
    <row r="21" spans="1:3">
      <c r="A21">
        <v>495</v>
      </c>
      <c r="B21">
        <f t="shared" si="0"/>
        <v>0.35462607526955026</v>
      </c>
      <c r="C21">
        <v>1.1565670578200151</v>
      </c>
    </row>
    <row r="22" spans="1:3">
      <c r="A22">
        <v>500</v>
      </c>
      <c r="B22">
        <f t="shared" si="0"/>
        <v>0.31484622408243013</v>
      </c>
      <c r="C22">
        <v>1.1480088262376444</v>
      </c>
    </row>
    <row r="23" spans="1:3">
      <c r="A23">
        <v>505</v>
      </c>
      <c r="B23">
        <f t="shared" si="0"/>
        <v>0.27771203753701457</v>
      </c>
      <c r="C23">
        <v>1.1395981402723567</v>
      </c>
    </row>
    <row r="24" spans="1:3">
      <c r="A24">
        <v>510</v>
      </c>
      <c r="B24">
        <f t="shared" si="0"/>
        <v>0.24338606936578344</v>
      </c>
      <c r="C24">
        <v>1.1313310327832939</v>
      </c>
    </row>
    <row r="25" spans="1:3">
      <c r="A25">
        <v>515</v>
      </c>
      <c r="B25">
        <f t="shared" si="0"/>
        <v>0.21200769535312247</v>
      </c>
      <c r="C25">
        <v>1.1232036808247872</v>
      </c>
    </row>
    <row r="26" spans="1:3">
      <c r="A26">
        <v>520</v>
      </c>
      <c r="B26">
        <f t="shared" si="0"/>
        <v>0.18369311333532323</v>
      </c>
      <c r="C26">
        <v>1.1152123990674336</v>
      </c>
    </row>
    <row r="27" spans="1:3">
      <c r="A27">
        <v>525</v>
      </c>
      <c r="B27">
        <f t="shared" si="0"/>
        <v>0.15853534320086737</v>
      </c>
      <c r="C27">
        <v>1.1073536335792171</v>
      </c>
    </row>
    <row r="28" spans="1:3">
      <c r="A28">
        <v>530</v>
      </c>
      <c r="B28">
        <f t="shared" si="0"/>
        <v>0.13660422688968765</v>
      </c>
      <c r="C28">
        <v>1.0996239559437444</v>
      </c>
    </row>
    <row r="29" spans="1:3">
      <c r="A29">
        <v>535</v>
      </c>
      <c r="B29">
        <f t="shared" si="0"/>
        <v>0.11794642839424796</v>
      </c>
      <c r="C29">
        <v>1.0920200576943417</v>
      </c>
    </row>
    <row r="30" spans="1:3">
      <c r="A30">
        <v>540</v>
      </c>
      <c r="B30">
        <f t="shared" si="0"/>
        <v>0.10258543375857698</v>
      </c>
      <c r="C30">
        <v>1.084538745044282</v>
      </c>
    </row>
    <row r="31" spans="1:3">
      <c r="A31">
        <v>545</v>
      </c>
      <c r="B31">
        <f t="shared" si="0"/>
        <v>9.0521551078666107E-2</v>
      </c>
      <c r="C31">
        <v>1.0771769338948065</v>
      </c>
    </row>
    <row r="32" spans="1:3">
      <c r="A32">
        <v>550</v>
      </c>
      <c r="B32">
        <f t="shared" si="0"/>
        <v>8.1731910502867322E-2</v>
      </c>
      <c r="C32">
        <v>1.0699316451039043</v>
      </c>
    </row>
    <row r="33" spans="1:3">
      <c r="A33">
        <v>555</v>
      </c>
      <c r="B33">
        <f t="shared" si="0"/>
        <v>7.6170464230870039E-2</v>
      </c>
      <c r="C33">
        <v>1.0628</v>
      </c>
    </row>
    <row r="34" spans="1:3">
      <c r="A34">
        <v>560</v>
      </c>
      <c r="B34">
        <f t="shared" si="0"/>
        <v>7.3767986514667427E-2</v>
      </c>
      <c r="C34">
        <v>1.0557792161257968</v>
      </c>
    </row>
    <row r="35" spans="1:3">
      <c r="A35">
        <v>565</v>
      </c>
      <c r="B35">
        <f t="shared" si="0"/>
        <v>7.4432073658101672E-2</v>
      </c>
      <c r="C35">
        <v>1.0488666031985303</v>
      </c>
    </row>
    <row r="36" spans="1:3">
      <c r="A36">
        <v>570</v>
      </c>
      <c r="B36">
        <f t="shared" si="0"/>
        <v>7.8047144017034498E-2</v>
      </c>
      <c r="C36">
        <v>1.0420595592738293</v>
      </c>
    </row>
    <row r="37" spans="1:3">
      <c r="A37">
        <v>575</v>
      </c>
      <c r="B37">
        <f t="shared" si="0"/>
        <v>8.447443799929033E-2</v>
      </c>
      <c r="C37">
        <v>1.0353555671012331</v>
      </c>
    </row>
    <row r="38" spans="1:3">
      <c r="A38">
        <v>580</v>
      </c>
      <c r="B38">
        <f t="shared" si="0"/>
        <v>9.3552018064713138E-2</v>
      </c>
      <c r="C38">
        <v>1.0287521906602246</v>
      </c>
    </row>
    <row r="39" spans="1:3">
      <c r="A39">
        <v>585</v>
      </c>
      <c r="B39">
        <f t="shared" si="0"/>
        <v>0.10509476872442747</v>
      </c>
      <c r="C39">
        <v>1.0222470718663663</v>
      </c>
    </row>
    <row r="40" spans="1:3">
      <c r="A40">
        <v>590</v>
      </c>
      <c r="B40">
        <f t="shared" si="0"/>
        <v>0.11889439654265743</v>
      </c>
      <c r="C40">
        <v>1.0158379274378124</v>
      </c>
    </row>
    <row r="41" spans="1:3">
      <c r="A41">
        <v>595</v>
      </c>
      <c r="B41">
        <f t="shared" si="0"/>
        <v>0.13471943013456666</v>
      </c>
      <c r="C41">
        <v>1.0095225459131096</v>
      </c>
    </row>
    <row r="42" spans="1:3">
      <c r="A42">
        <v>600</v>
      </c>
      <c r="B42">
        <f t="shared" si="0"/>
        <v>0.15231522016773624</v>
      </c>
      <c r="C42">
        <v>1.0032987848117765</v>
      </c>
    </row>
    <row r="43" spans="1:3">
      <c r="A43">
        <v>605</v>
      </c>
      <c r="B43">
        <f t="shared" si="0"/>
        <v>0.17140393936182363</v>
      </c>
      <c r="C43">
        <v>0.99716456792970398</v>
      </c>
    </row>
    <row r="44" spans="1:3">
      <c r="A44">
        <v>610</v>
      </c>
      <c r="B44">
        <f t="shared" si="0"/>
        <v>0.19168458248799425</v>
      </c>
      <c r="C44">
        <v>0.99111788276191859</v>
      </c>
    </row>
    <row r="45" spans="1:3">
      <c r="A45">
        <v>615</v>
      </c>
      <c r="B45">
        <f t="shared" si="0"/>
        <v>0.21283296636983096</v>
      </c>
      <c r="C45">
        <v>0.98515677804572688</v>
      </c>
    </row>
    <row r="46" spans="1:3">
      <c r="A46">
        <v>620</v>
      </c>
      <c r="B46">
        <f t="shared" si="0"/>
        <v>0.23450172988231088</v>
      </c>
      <c r="C46">
        <v>0.97927936141768801</v>
      </c>
    </row>
    <row r="47" spans="1:3">
      <c r="A47">
        <v>625</v>
      </c>
      <c r="B47">
        <f t="shared" si="0"/>
        <v>0.25632033395260123</v>
      </c>
      <c r="C47">
        <v>0.97348379717827316</v>
      </c>
    </row>
    <row r="48" spans="1:3">
      <c r="A48">
        <v>630</v>
      </c>
      <c r="B48">
        <f t="shared" si="0"/>
        <v>0.27789506156051402</v>
      </c>
      <c r="C48">
        <v>0.96776830415844661</v>
      </c>
    </row>
    <row r="49" spans="1:3">
      <c r="A49">
        <v>635</v>
      </c>
      <c r="B49">
        <f t="shared" si="0"/>
        <v>0.29880901773668711</v>
      </c>
      <c r="C49">
        <v>0.96213115368275304</v>
      </c>
    </row>
    <row r="50" spans="1:3">
      <c r="A50">
        <v>640</v>
      </c>
      <c r="B50">
        <f t="shared" si="0"/>
        <v>0.31862212956406211</v>
      </c>
      <c r="C50">
        <v>0.95657066762382625</v>
      </c>
    </row>
    <row r="51" spans="1:3">
      <c r="A51">
        <v>645</v>
      </c>
      <c r="B51">
        <f t="shared" si="0"/>
        <v>0.33687114617822544</v>
      </c>
      <c r="C51">
        <v>0.95108521654353795</v>
      </c>
    </row>
    <row r="52" spans="1:3">
      <c r="A52">
        <v>650</v>
      </c>
      <c r="B52">
        <f t="shared" si="0"/>
        <v>0.35306963876570308</v>
      </c>
      <c r="C52">
        <v>0.94567321791629078</v>
      </c>
    </row>
    <row r="53" spans="1:3">
      <c r="A53">
        <v>655</v>
      </c>
      <c r="B53">
        <f t="shared" si="0"/>
        <v>0.36670800056532471</v>
      </c>
      <c r="C53">
        <v>0.94033313443022593</v>
      </c>
    </row>
    <row r="54" spans="1:3">
      <c r="A54">
        <v>660</v>
      </c>
      <c r="B54">
        <f t="shared" si="0"/>
        <v>0.37725344686833751</v>
      </c>
      <c r="C54">
        <v>0.93506347236236287</v>
      </c>
    </row>
    <row r="55" spans="1:3">
      <c r="A55">
        <v>665</v>
      </c>
      <c r="B55">
        <f t="shared" si="0"/>
        <v>0.38415001501738288</v>
      </c>
      <c r="C55">
        <v>0.9298627800239222</v>
      </c>
    </row>
    <row r="56" spans="1:3">
      <c r="A56">
        <v>670</v>
      </c>
      <c r="B56">
        <f t="shared" si="0"/>
        <v>0.38681856440740603</v>
      </c>
      <c r="C56">
        <v>0.92472964627229848</v>
      </c>
    </row>
    <row r="57" spans="1:3">
      <c r="A57">
        <v>675</v>
      </c>
      <c r="B57">
        <f t="shared" si="0"/>
        <v>0.38465677648474639</v>
      </c>
      <c r="C57">
        <v>0.91966269908635212</v>
      </c>
    </row>
    <row r="58" spans="1:3">
      <c r="A58">
        <v>680</v>
      </c>
      <c r="B58">
        <f t="shared" si="0"/>
        <v>0.37703915474816085</v>
      </c>
      <c r="C58">
        <v>0.91466060420187956</v>
      </c>
    </row>
    <row r="59" spans="1:3">
      <c r="A59">
        <v>685</v>
      </c>
      <c r="B59">
        <f t="shared" si="0"/>
        <v>0.36331702474848271</v>
      </c>
      <c r="C59">
        <v>0.90972206380430087</v>
      </c>
    </row>
    <row r="60" spans="1:3">
      <c r="A60">
        <v>690</v>
      </c>
      <c r="B60">
        <f t="shared" si="0"/>
        <v>0.34281853408816687</v>
      </c>
      <c r="C60">
        <v>0.90484581527576458</v>
      </c>
    </row>
    <row r="61" spans="1:3">
      <c r="A61">
        <v>695</v>
      </c>
      <c r="B61">
        <f t="shared" si="0"/>
        <v>0.31484865242151727</v>
      </c>
      <c r="C61">
        <v>0.90003062999403172</v>
      </c>
    </row>
    <row r="62" spans="1:3">
      <c r="A62">
        <v>700</v>
      </c>
      <c r="B62">
        <f t="shared" si="0"/>
        <v>0.2786891714551416</v>
      </c>
      <c r="C62">
        <v>0.8952753121806436</v>
      </c>
    </row>
    <row r="63" spans="1:3">
      <c r="A63">
        <v>705</v>
      </c>
      <c r="B63">
        <f t="shared" si="0"/>
        <v>0.23359870494738288</v>
      </c>
      <c r="C63">
        <v>0.89057869779601451</v>
      </c>
    </row>
    <row r="64" spans="1:3">
      <c r="A64">
        <v>710</v>
      </c>
      <c r="B64">
        <f t="shared" si="0"/>
        <v>0.17881268870866052</v>
      </c>
      <c r="C64">
        <v>0.88593965347922199</v>
      </c>
    </row>
    <row r="65" spans="1:3">
      <c r="A65">
        <v>715</v>
      </c>
      <c r="B65">
        <f t="shared" si="0"/>
        <v>0.11354338060124292</v>
      </c>
      <c r="C65">
        <v>0.88135707553038489</v>
      </c>
    </row>
  </sheetData>
  <phoneticPr fontId="9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X76"/>
  <sheetViews>
    <sheetView topLeftCell="T1" workbookViewId="0">
      <selection activeCell="U7" sqref="U7"/>
    </sheetView>
  </sheetViews>
  <sheetFormatPr defaultRowHeight="12.75"/>
  <sheetData>
    <row r="1" spans="1:76">
      <c r="J1" t="s">
        <v>50</v>
      </c>
      <c r="K1" t="s">
        <v>128</v>
      </c>
      <c r="M1" s="49">
        <v>400</v>
      </c>
      <c r="N1" s="49">
        <v>405</v>
      </c>
      <c r="O1" s="49">
        <v>410</v>
      </c>
      <c r="P1" s="49">
        <v>415</v>
      </c>
      <c r="Q1" s="49">
        <v>420</v>
      </c>
      <c r="R1" s="49">
        <v>425</v>
      </c>
      <c r="S1" s="49">
        <v>430</v>
      </c>
      <c r="T1" s="49">
        <v>435</v>
      </c>
      <c r="U1" s="49">
        <v>440</v>
      </c>
      <c r="V1" s="49">
        <v>445</v>
      </c>
      <c r="W1" s="49">
        <v>450</v>
      </c>
      <c r="X1" s="49">
        <v>455</v>
      </c>
      <c r="Y1" s="49">
        <v>460</v>
      </c>
      <c r="Z1" s="49">
        <v>465</v>
      </c>
      <c r="AA1" s="49">
        <v>470</v>
      </c>
      <c r="AB1" s="49">
        <v>475</v>
      </c>
      <c r="AC1" s="49">
        <v>480</v>
      </c>
      <c r="AD1" s="49">
        <v>485</v>
      </c>
      <c r="AE1" s="49">
        <v>490</v>
      </c>
      <c r="AF1" s="49">
        <v>495</v>
      </c>
      <c r="AG1" s="49">
        <v>500</v>
      </c>
      <c r="AH1" s="49">
        <v>505</v>
      </c>
      <c r="AI1" s="49">
        <v>510</v>
      </c>
      <c r="AJ1" s="49">
        <v>515</v>
      </c>
      <c r="AK1" s="49">
        <v>520</v>
      </c>
      <c r="AL1" s="49">
        <v>525</v>
      </c>
      <c r="AM1" s="49">
        <v>530</v>
      </c>
      <c r="AN1" s="49">
        <v>535</v>
      </c>
      <c r="AO1" s="49">
        <v>540</v>
      </c>
      <c r="AP1" s="49">
        <v>545</v>
      </c>
      <c r="AQ1" s="49">
        <v>550</v>
      </c>
      <c r="AR1" s="49">
        <v>555</v>
      </c>
      <c r="AS1" s="49">
        <v>560</v>
      </c>
      <c r="AT1" s="49">
        <v>565</v>
      </c>
      <c r="AU1" s="49">
        <v>570</v>
      </c>
      <c r="AV1" s="49">
        <v>575</v>
      </c>
      <c r="AW1" s="49">
        <v>580</v>
      </c>
      <c r="AX1" s="49">
        <v>585</v>
      </c>
      <c r="AY1" s="49">
        <v>590</v>
      </c>
      <c r="AZ1" s="49">
        <v>595</v>
      </c>
      <c r="BA1" s="49">
        <v>600</v>
      </c>
      <c r="BB1" s="49">
        <v>605</v>
      </c>
      <c r="BC1" s="49">
        <v>610</v>
      </c>
      <c r="BD1" s="49">
        <v>615</v>
      </c>
      <c r="BE1" s="49">
        <v>620</v>
      </c>
      <c r="BF1" s="49">
        <v>625</v>
      </c>
      <c r="BG1" s="49">
        <v>630</v>
      </c>
      <c r="BH1" s="49">
        <v>635</v>
      </c>
      <c r="BI1" s="49">
        <v>640</v>
      </c>
      <c r="BJ1" s="49">
        <v>645</v>
      </c>
      <c r="BK1" s="49">
        <v>650</v>
      </c>
      <c r="BL1" s="49">
        <v>655</v>
      </c>
      <c r="BM1" s="49">
        <v>660</v>
      </c>
      <c r="BN1" s="49">
        <v>665</v>
      </c>
      <c r="BO1" s="49">
        <v>670</v>
      </c>
      <c r="BP1" s="49">
        <v>675</v>
      </c>
      <c r="BQ1" s="49">
        <v>680</v>
      </c>
      <c r="BR1" s="49">
        <v>685</v>
      </c>
      <c r="BS1" s="49">
        <v>690</v>
      </c>
      <c r="BT1" s="49">
        <v>695</v>
      </c>
      <c r="BU1" s="49">
        <v>700</v>
      </c>
      <c r="BV1" s="49">
        <v>705</v>
      </c>
      <c r="BW1" s="49">
        <v>710</v>
      </c>
      <c r="BX1" s="49"/>
    </row>
    <row r="2" spans="1:76">
      <c r="A2" t="s">
        <v>51</v>
      </c>
      <c r="B2" t="s">
        <v>52</v>
      </c>
      <c r="C2" t="s">
        <v>53</v>
      </c>
      <c r="J2">
        <v>400</v>
      </c>
      <c r="K2">
        <f>M7+M6</f>
        <v>1.1848142593663955</v>
      </c>
      <c r="L2" t="s">
        <v>54</v>
      </c>
      <c r="M2">
        <v>-0.23830206000000001</v>
      </c>
      <c r="N2">
        <v>-0.23675357999999999</v>
      </c>
      <c r="O2">
        <v>-0.24858399</v>
      </c>
      <c r="P2">
        <v>-0.24222157</v>
      </c>
      <c r="Q2">
        <v>-0.22900100000000001</v>
      </c>
      <c r="R2">
        <v>-0.22910373000000001</v>
      </c>
      <c r="S2">
        <v>-0.22028229999999999</v>
      </c>
      <c r="T2">
        <v>-0.20598606999999999</v>
      </c>
      <c r="U2">
        <v>-0.19707947000000001</v>
      </c>
      <c r="V2">
        <v>-0.18807618000000001</v>
      </c>
      <c r="W2">
        <v>-0.18378586999999999</v>
      </c>
      <c r="X2">
        <v>-0.18867666</v>
      </c>
      <c r="Y2">
        <v>-0.18331779000000001</v>
      </c>
      <c r="Z2">
        <v>-0.17382447000000001</v>
      </c>
      <c r="AA2">
        <v>-0.16299763</v>
      </c>
      <c r="AB2">
        <v>-0.15972170999999999</v>
      </c>
      <c r="AC2">
        <v>-0.15463551</v>
      </c>
      <c r="AD2">
        <v>-0.14721583999999999</v>
      </c>
      <c r="AE2">
        <v>-0.14584443999999999</v>
      </c>
      <c r="AF2">
        <v>-0.14370552</v>
      </c>
      <c r="AG2">
        <v>-0.13745377</v>
      </c>
      <c r="AH2">
        <v>-0.12898093999999999</v>
      </c>
      <c r="AI2">
        <v>-0.12763938999999999</v>
      </c>
      <c r="AJ2">
        <v>-0.12679746</v>
      </c>
      <c r="AK2">
        <v>-0.11506514</v>
      </c>
      <c r="AL2">
        <v>-0.11385362</v>
      </c>
      <c r="AM2">
        <v>-0.11307108</v>
      </c>
      <c r="AN2">
        <v>-0.11163998999999999</v>
      </c>
      <c r="AO2">
        <v>-0.10463318000000001</v>
      </c>
      <c r="AP2">
        <v>-0.1015877</v>
      </c>
      <c r="AQ2">
        <v>-9.9748667999999999E-2</v>
      </c>
      <c r="AR2">
        <v>-9.4915411000000005E-2</v>
      </c>
      <c r="AS2">
        <v>-8.9913191000000003E-2</v>
      </c>
      <c r="AT2">
        <v>-8.3134414000000004E-2</v>
      </c>
      <c r="AU2">
        <v>-8.1254287999999994E-2</v>
      </c>
      <c r="AV2">
        <v>-7.7559476000000002E-2</v>
      </c>
      <c r="AW2">
        <v>-7.0557889999999998E-2</v>
      </c>
      <c r="AX2">
        <v>-6.4686967999999997E-2</v>
      </c>
      <c r="AY2">
        <v>-5.3157312999999998E-2</v>
      </c>
      <c r="AZ2">
        <v>-5.0835896999999998E-2</v>
      </c>
      <c r="BA2">
        <v>-4.9023811E-2</v>
      </c>
      <c r="BB2">
        <v>-4.5753674000000001E-2</v>
      </c>
      <c r="BC2">
        <v>-3.8117133999999997E-2</v>
      </c>
      <c r="BD2">
        <v>-3.5969662999999999E-2</v>
      </c>
      <c r="BE2">
        <v>-2.7179088000000001E-2</v>
      </c>
      <c r="BF2">
        <v>-2.9301542E-2</v>
      </c>
      <c r="BG2">
        <v>-2.8989292E-2</v>
      </c>
      <c r="BH2">
        <v>-2.7468499E-2</v>
      </c>
      <c r="BI2">
        <v>-2.6606692000000001E-2</v>
      </c>
      <c r="BJ2">
        <v>-3.2025794000000003E-2</v>
      </c>
      <c r="BK2">
        <v>-3.1490206999999999E-2</v>
      </c>
      <c r="BL2">
        <v>-2.8422467999999999E-2</v>
      </c>
      <c r="BM2">
        <v>-2.5587990000000001E-2</v>
      </c>
      <c r="BN2">
        <v>-1.8849808999999999E-2</v>
      </c>
      <c r="BO2">
        <v>-7.0835443999999999E-3</v>
      </c>
      <c r="BP2" s="2">
        <v>-5.2121553000000005E-4</v>
      </c>
      <c r="BQ2">
        <v>5.1539662000000003E-3</v>
      </c>
      <c r="BR2" s="2">
        <v>3.3650199999999998E-3</v>
      </c>
      <c r="BS2">
        <v>-1.4647386E-2</v>
      </c>
      <c r="BT2">
        <v>-2.6960983000000001E-2</v>
      </c>
      <c r="BU2">
        <v>-3.9457654000000002E-2</v>
      </c>
      <c r="BV2">
        <v>-3.8071702999999998E-2</v>
      </c>
      <c r="BW2">
        <v>-4.0509641999999998E-2</v>
      </c>
    </row>
    <row r="3" spans="1:76">
      <c r="A3">
        <f>Phi_PC1</f>
        <v>0</v>
      </c>
      <c r="B3">
        <f>Phi_PC2</f>
        <v>0</v>
      </c>
      <c r="C3">
        <f>Phi_PC3</f>
        <v>0</v>
      </c>
      <c r="D3">
        <v>1.0528028780355798</v>
      </c>
      <c r="E3">
        <v>0</v>
      </c>
      <c r="F3">
        <v>0</v>
      </c>
      <c r="G3">
        <f t="array" ref="G3:I3">MMULT(A3:C3,D3:F5)</f>
        <v>0</v>
      </c>
      <c r="H3">
        <v>0</v>
      </c>
      <c r="I3">
        <v>0</v>
      </c>
      <c r="J3">
        <v>405</v>
      </c>
      <c r="K3">
        <f>N7+N6</f>
        <v>1.2321307432928261</v>
      </c>
      <c r="L3" t="s">
        <v>55</v>
      </c>
      <c r="M3">
        <v>6.691482E-2</v>
      </c>
      <c r="N3">
        <v>7.5724457999999994E-2</v>
      </c>
      <c r="O3">
        <v>0.10960404</v>
      </c>
      <c r="P3">
        <v>0.11774597000000001</v>
      </c>
      <c r="Q3">
        <v>0.12395415999999999</v>
      </c>
      <c r="R3">
        <v>0.13537979</v>
      </c>
      <c r="S3">
        <v>0.15033086000000001</v>
      </c>
      <c r="T3">
        <v>0.16101436</v>
      </c>
      <c r="U3">
        <v>0.16713531000000001</v>
      </c>
      <c r="V3">
        <v>0.14965444999999999</v>
      </c>
      <c r="W3">
        <v>0.11385487</v>
      </c>
      <c r="X3">
        <v>0.11286816</v>
      </c>
      <c r="Y3">
        <v>0.10219543</v>
      </c>
      <c r="Z3">
        <v>8.3485061999999999E-2</v>
      </c>
      <c r="AA3">
        <v>5.3146814000000001E-2</v>
      </c>
      <c r="AB3">
        <v>1.6612356000000002E-2</v>
      </c>
      <c r="AC3">
        <v>-1.6328592999999999E-2</v>
      </c>
      <c r="AD3">
        <v>-3.6631773999999999E-2</v>
      </c>
      <c r="AE3">
        <v>-4.3457055000000001E-2</v>
      </c>
      <c r="AF3">
        <v>-5.0277267E-2</v>
      </c>
      <c r="AG3">
        <v>-6.7209273E-2</v>
      </c>
      <c r="AH3">
        <v>-8.2309305999999999E-2</v>
      </c>
      <c r="AI3">
        <v>-9.5849993999999994E-2</v>
      </c>
      <c r="AJ3">
        <v>-0.10939636</v>
      </c>
      <c r="AK3">
        <v>-0.12558873000000001</v>
      </c>
      <c r="AL3">
        <v>-0.12931065</v>
      </c>
      <c r="AM3">
        <v>-0.13514049</v>
      </c>
      <c r="AN3">
        <v>-0.13904221</v>
      </c>
      <c r="AO3">
        <v>-0.13916217</v>
      </c>
      <c r="AP3">
        <v>-0.14273099</v>
      </c>
      <c r="AQ3">
        <v>-0.14413144999999999</v>
      </c>
      <c r="AR3">
        <v>-0.14773373000000001</v>
      </c>
      <c r="AS3">
        <v>-0.15680616</v>
      </c>
      <c r="AT3">
        <v>-0.15923747999999999</v>
      </c>
      <c r="AU3">
        <v>-0.14998073000000001</v>
      </c>
      <c r="AV3">
        <v>-0.14984684000000001</v>
      </c>
      <c r="AW3">
        <v>-0.15267894000000001</v>
      </c>
      <c r="AX3">
        <v>-0.14774756999999999</v>
      </c>
      <c r="AY3">
        <v>-0.16187471</v>
      </c>
      <c r="AZ3">
        <v>-0.15805793000000001</v>
      </c>
      <c r="BA3">
        <v>-0.15681571</v>
      </c>
      <c r="BB3">
        <v>-0.15718793</v>
      </c>
      <c r="BC3">
        <v>-0.15486739999999999</v>
      </c>
      <c r="BD3">
        <v>-0.15280444000000001</v>
      </c>
      <c r="BE3">
        <v>-0.15182825</v>
      </c>
      <c r="BF3">
        <v>-0.14463630999999999</v>
      </c>
      <c r="BG3">
        <v>-0.14282733</v>
      </c>
      <c r="BH3">
        <v>-0.13950197</v>
      </c>
      <c r="BI3">
        <v>-0.13777660999999999</v>
      </c>
      <c r="BJ3">
        <v>-0.13641619999999999</v>
      </c>
      <c r="BK3">
        <v>-0.12571318000000001</v>
      </c>
      <c r="BL3">
        <v>-0.10662589</v>
      </c>
      <c r="BM3">
        <v>-6.7502461999999999E-2</v>
      </c>
      <c r="BN3">
        <v>-2.4500316000000001E-2</v>
      </c>
      <c r="BO3" s="2">
        <v>4.3910392999999999E-3</v>
      </c>
      <c r="BP3">
        <v>5.5932804000000001E-3</v>
      </c>
      <c r="BQ3">
        <v>-3.6202353999999999E-2</v>
      </c>
      <c r="BR3">
        <v>-9.3871877000000006E-2</v>
      </c>
      <c r="BS3">
        <v>-0.12929115999999999</v>
      </c>
      <c r="BT3">
        <v>-0.14806593000000001</v>
      </c>
      <c r="BU3">
        <v>-0.15670625999999999</v>
      </c>
      <c r="BV3">
        <v>-0.16007002000000001</v>
      </c>
      <c r="BW3">
        <v>-0.16115492000000001</v>
      </c>
    </row>
    <row r="4" spans="1:76">
      <c r="D4">
        <v>0</v>
      </c>
      <c r="E4">
        <v>0.32631942939396053</v>
      </c>
      <c r="F4">
        <v>0</v>
      </c>
      <c r="J4">
        <v>410</v>
      </c>
      <c r="K4">
        <f>O7+O6</f>
        <v>1.2599930819375915</v>
      </c>
      <c r="L4" t="s">
        <v>56</v>
      </c>
      <c r="M4">
        <v>-0.26923635000000001</v>
      </c>
      <c r="N4">
        <v>-0.25389978000000002</v>
      </c>
      <c r="O4">
        <v>-0.27274565000000001</v>
      </c>
      <c r="P4">
        <v>-0.23202455</v>
      </c>
      <c r="Q4">
        <v>-0.20405624</v>
      </c>
      <c r="R4">
        <v>-0.17127751999999999</v>
      </c>
      <c r="S4">
        <v>-0.12101497999999999</v>
      </c>
      <c r="T4">
        <v>-6.8026519999999993E-2</v>
      </c>
      <c r="U4">
        <v>-3.4293576999999999E-2</v>
      </c>
      <c r="V4">
        <v>1.7944412999999999E-2</v>
      </c>
      <c r="W4">
        <v>9.6146757999999999E-2</v>
      </c>
      <c r="X4">
        <v>0.14054074999999999</v>
      </c>
      <c r="Y4">
        <v>0.18916306999999999</v>
      </c>
      <c r="Z4">
        <v>0.22945771000000001</v>
      </c>
      <c r="AA4">
        <v>0.24193692999999999</v>
      </c>
      <c r="AB4">
        <v>0.22533877999999999</v>
      </c>
      <c r="AC4">
        <v>0.20471186999999999</v>
      </c>
      <c r="AD4">
        <v>0.20607722000000001</v>
      </c>
      <c r="AE4">
        <v>0.19497318999999999</v>
      </c>
      <c r="AF4">
        <v>0.18764893999999999</v>
      </c>
      <c r="AG4">
        <v>0.17311551999999999</v>
      </c>
      <c r="AH4">
        <v>0.15849241</v>
      </c>
      <c r="AI4">
        <v>0.13627001999999999</v>
      </c>
      <c r="AJ4">
        <v>0.11476685</v>
      </c>
      <c r="AK4">
        <v>0.12402571</v>
      </c>
      <c r="AL4">
        <v>0.10462866999999999</v>
      </c>
      <c r="AM4">
        <v>9.2627190999999998E-2</v>
      </c>
      <c r="AN4">
        <v>7.9067042000000004E-2</v>
      </c>
      <c r="AO4">
        <v>7.4121446999999993E-2</v>
      </c>
      <c r="AP4">
        <v>4.5075459999999998E-2</v>
      </c>
      <c r="AQ4">
        <v>1.924561E-2</v>
      </c>
      <c r="AR4">
        <v>1.9909866999999999E-3</v>
      </c>
      <c r="AS4">
        <v>-2.4560628000000001E-2</v>
      </c>
      <c r="AT4">
        <v>-3.2728819999999999E-2</v>
      </c>
      <c r="AU4">
        <v>-6.7822120999999999E-2</v>
      </c>
      <c r="AV4">
        <v>-7.7122008000000006E-2</v>
      </c>
      <c r="AW4">
        <v>-7.3136619E-2</v>
      </c>
      <c r="AX4">
        <v>-7.0041292000000005E-2</v>
      </c>
      <c r="AY4">
        <v>-4.6947131000000003E-2</v>
      </c>
      <c r="AZ4">
        <v>-5.0604667999999998E-2</v>
      </c>
      <c r="BA4">
        <v>-6.6624225999999995E-2</v>
      </c>
      <c r="BB4">
        <v>-6.9441454E-2</v>
      </c>
      <c r="BC4">
        <v>-5.8063674000000003E-2</v>
      </c>
      <c r="BD4">
        <v>-5.5923714999999999E-2</v>
      </c>
      <c r="BE4">
        <v>-3.3534742999999999E-2</v>
      </c>
      <c r="BF4">
        <v>-4.1267704000000002E-2</v>
      </c>
      <c r="BG4">
        <v>-4.0662568000000003E-2</v>
      </c>
      <c r="BH4">
        <v>-3.2695865999999997E-2</v>
      </c>
      <c r="BI4">
        <v>-1.5603179999999999E-2</v>
      </c>
      <c r="BJ4">
        <v>-2.0351269000000002E-2</v>
      </c>
      <c r="BK4">
        <v>-2.9418416999999999E-2</v>
      </c>
      <c r="BL4">
        <v>-3.391135E-2</v>
      </c>
      <c r="BM4">
        <v>-4.3273840000000001E-2</v>
      </c>
      <c r="BN4">
        <v>-2.9196763000000001E-2</v>
      </c>
      <c r="BO4">
        <v>1.37766E-2</v>
      </c>
      <c r="BP4">
        <v>1.0883723999999999E-2</v>
      </c>
      <c r="BQ4">
        <v>-4.2373044999999998E-2</v>
      </c>
      <c r="BR4">
        <v>-8.5479515000000006E-2</v>
      </c>
      <c r="BS4">
        <v>-0.10612109</v>
      </c>
      <c r="BT4">
        <v>-0.10423438</v>
      </c>
      <c r="BU4">
        <v>-0.10936758000000001</v>
      </c>
      <c r="BV4">
        <v>-9.7111775999999997E-2</v>
      </c>
      <c r="BW4">
        <v>-9.6176164999999994E-2</v>
      </c>
    </row>
    <row r="5" spans="1:76">
      <c r="D5">
        <v>0</v>
      </c>
      <c r="E5">
        <v>0</v>
      </c>
      <c r="F5">
        <v>0.23465048050238466</v>
      </c>
      <c r="J5">
        <v>415</v>
      </c>
      <c r="K5">
        <f>P7+P6</f>
        <v>1.32210117572181</v>
      </c>
    </row>
    <row r="6" spans="1:76">
      <c r="C6">
        <v>0.23465048050238466</v>
      </c>
      <c r="J6">
        <v>420</v>
      </c>
      <c r="K6">
        <f>Q7+Q6</f>
        <v>1.3509181670720061</v>
      </c>
      <c r="L6" t="s">
        <v>57</v>
      </c>
      <c r="M6">
        <f t="array" ref="M6:BW6">MMULT(G3:I3,M2:BW4)</f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</row>
    <row r="7" spans="1:76">
      <c r="C7">
        <v>0.32631942939396053</v>
      </c>
      <c r="J7">
        <v>425</v>
      </c>
      <c r="K7">
        <f>R7+R6</f>
        <v>1.3672934236975967</v>
      </c>
      <c r="L7" t="s">
        <v>58</v>
      </c>
      <c r="M7">
        <v>1.1848142593663955</v>
      </c>
      <c r="N7">
        <v>1.2321307432928261</v>
      </c>
      <c r="O7">
        <v>1.2599930819375915</v>
      </c>
      <c r="P7">
        <v>1.32210117572181</v>
      </c>
      <c r="Q7">
        <v>1.3509181670720061</v>
      </c>
      <c r="R7">
        <v>1.3672934236975967</v>
      </c>
      <c r="S7">
        <v>1.4243589123670286</v>
      </c>
      <c r="T7">
        <v>1.4645065313428163</v>
      </c>
      <c r="U7">
        <v>1.473699463237615</v>
      </c>
      <c r="V7">
        <v>1.4049571471420887</v>
      </c>
      <c r="W7">
        <v>1.3089023405966107</v>
      </c>
      <c r="X7">
        <v>1.2568746882197421</v>
      </c>
      <c r="Y7">
        <v>1.2290848505974175</v>
      </c>
      <c r="Z7">
        <v>1.2030795464188644</v>
      </c>
      <c r="AA7">
        <v>1.1552333717824681</v>
      </c>
      <c r="AB7">
        <v>1.0907921213549923</v>
      </c>
      <c r="AC7">
        <v>1.028325194852775</v>
      </c>
      <c r="AD7">
        <v>0.98590952064967274</v>
      </c>
      <c r="AE7">
        <v>0.94215918770909401</v>
      </c>
      <c r="AF7">
        <v>0.89591840832410086</v>
      </c>
      <c r="AG7">
        <v>0.85652848530252035</v>
      </c>
      <c r="AH7">
        <v>0.80331281760084561</v>
      </c>
      <c r="AI7">
        <v>0.74622439306239285</v>
      </c>
      <c r="AJ7">
        <v>0.68259435208665797</v>
      </c>
      <c r="AK7">
        <v>0.63512307563234027</v>
      </c>
      <c r="AL7">
        <v>0.59545691477382423</v>
      </c>
      <c r="AM7">
        <v>0.56343743003485813</v>
      </c>
      <c r="AN7">
        <v>0.53200081285477785</v>
      </c>
      <c r="AO7">
        <v>0.50532688558391281</v>
      </c>
      <c r="AP7">
        <v>0.47600376132236877</v>
      </c>
      <c r="AQ7">
        <v>0.43303116870330088</v>
      </c>
      <c r="AR7">
        <v>0.41395646095678884</v>
      </c>
      <c r="AS7">
        <v>0.36415637538317797</v>
      </c>
      <c r="AT7">
        <v>0.34868057971929922</v>
      </c>
      <c r="AU7">
        <v>0.32783637311397879</v>
      </c>
      <c r="AV7">
        <v>0.31744122169448336</v>
      </c>
      <c r="AW7">
        <v>0.32025431475285115</v>
      </c>
      <c r="AX7">
        <v>0.32337376951353725</v>
      </c>
      <c r="AY7">
        <v>0.31953943416532943</v>
      </c>
      <c r="AZ7">
        <v>0.31000566519379874</v>
      </c>
      <c r="BA7">
        <v>0.29416800193896858</v>
      </c>
      <c r="BB7">
        <v>0.296492579694002</v>
      </c>
      <c r="BC7">
        <v>0.3217919667694325</v>
      </c>
      <c r="BD7">
        <v>0.34805657461070821</v>
      </c>
      <c r="BE7">
        <v>0.36878799133335488</v>
      </c>
      <c r="BF7">
        <v>0.37483943248179152</v>
      </c>
      <c r="BG7">
        <v>0.38005081552225956</v>
      </c>
      <c r="BH7">
        <v>0.38794839165927425</v>
      </c>
      <c r="BI7">
        <v>0.38190933043443892</v>
      </c>
      <c r="BJ7">
        <v>0.38222361160312091</v>
      </c>
      <c r="BK7">
        <v>0.39835756439437214</v>
      </c>
      <c r="BL7">
        <v>0.45061134129459696</v>
      </c>
      <c r="BM7">
        <v>0.58588149218667385</v>
      </c>
      <c r="BN7">
        <v>0.77247777496335979</v>
      </c>
      <c r="BO7">
        <v>0.94543861409586127</v>
      </c>
      <c r="BP7">
        <v>1.0023549793658522</v>
      </c>
      <c r="BQ7">
        <v>0.92116087692834858</v>
      </c>
      <c r="BR7">
        <v>0.71178426512989668</v>
      </c>
      <c r="BS7">
        <v>0.46256168588527607</v>
      </c>
      <c r="BT7">
        <v>0.2759839632116855</v>
      </c>
      <c r="BU7">
        <v>0.15735171650259464</v>
      </c>
      <c r="BV7">
        <v>0.11144374371564632</v>
      </c>
      <c r="BW7">
        <v>6.7318384120521532E-2</v>
      </c>
      <c r="BX7">
        <v>5.3102492960974343E-2</v>
      </c>
    </row>
    <row r="8" spans="1:76">
      <c r="C8">
        <v>1.0528028780355798</v>
      </c>
      <c r="J8">
        <v>430</v>
      </c>
      <c r="K8">
        <f>S7+S6</f>
        <v>1.4243589123670286</v>
      </c>
      <c r="M8" s="49" t="s">
        <v>59</v>
      </c>
      <c r="N8" s="49" t="s">
        <v>60</v>
      </c>
      <c r="O8" s="49" t="s">
        <v>61</v>
      </c>
      <c r="P8" s="49" t="s">
        <v>62</v>
      </c>
      <c r="Q8" s="49" t="s">
        <v>63</v>
      </c>
      <c r="R8" s="49" t="s">
        <v>64</v>
      </c>
      <c r="S8" s="49" t="s">
        <v>65</v>
      </c>
      <c r="T8" s="49" t="s">
        <v>66</v>
      </c>
      <c r="U8" s="49" t="s">
        <v>67</v>
      </c>
      <c r="V8" s="49" t="s">
        <v>68</v>
      </c>
      <c r="W8" s="49" t="s">
        <v>69</v>
      </c>
      <c r="X8" s="49" t="s">
        <v>70</v>
      </c>
      <c r="Y8" s="49" t="s">
        <v>71</v>
      </c>
      <c r="Z8" s="49" t="s">
        <v>72</v>
      </c>
      <c r="AA8" s="49" t="s">
        <v>73</v>
      </c>
      <c r="AB8" s="49" t="s">
        <v>74</v>
      </c>
      <c r="AC8" s="49" t="s">
        <v>75</v>
      </c>
      <c r="AD8" s="49" t="s">
        <v>76</v>
      </c>
      <c r="AE8" s="49" t="s">
        <v>77</v>
      </c>
      <c r="AF8" s="49" t="s">
        <v>78</v>
      </c>
      <c r="AG8" s="49" t="s">
        <v>79</v>
      </c>
      <c r="AH8" s="49" t="s">
        <v>80</v>
      </c>
      <c r="AI8" s="49" t="s">
        <v>81</v>
      </c>
      <c r="AJ8" s="49" t="s">
        <v>82</v>
      </c>
      <c r="AK8" s="49" t="s">
        <v>83</v>
      </c>
      <c r="AL8" s="49" t="s">
        <v>84</v>
      </c>
      <c r="AM8" s="49" t="s">
        <v>85</v>
      </c>
      <c r="AN8" s="49" t="s">
        <v>86</v>
      </c>
      <c r="AO8" s="49" t="s">
        <v>87</v>
      </c>
      <c r="AP8" s="49" t="s">
        <v>88</v>
      </c>
      <c r="AQ8" s="49" t="s">
        <v>89</v>
      </c>
      <c r="AR8" s="49" t="s">
        <v>90</v>
      </c>
      <c r="AS8" s="49" t="s">
        <v>91</v>
      </c>
      <c r="AT8" s="49" t="s">
        <v>92</v>
      </c>
      <c r="AU8" s="49" t="s">
        <v>93</v>
      </c>
      <c r="AV8" s="49" t="s">
        <v>94</v>
      </c>
      <c r="AW8" s="49" t="s">
        <v>95</v>
      </c>
      <c r="AX8" s="49" t="s">
        <v>96</v>
      </c>
      <c r="AY8" s="49" t="s">
        <v>97</v>
      </c>
      <c r="AZ8" s="49" t="s">
        <v>98</v>
      </c>
      <c r="BA8" s="49" t="s">
        <v>99</v>
      </c>
      <c r="BB8" s="49" t="s">
        <v>100</v>
      </c>
      <c r="BC8" s="49" t="s">
        <v>101</v>
      </c>
      <c r="BD8" s="49" t="s">
        <v>102</v>
      </c>
      <c r="BE8" s="49" t="s">
        <v>103</v>
      </c>
      <c r="BF8" s="49" t="s">
        <v>104</v>
      </c>
      <c r="BG8" s="49" t="s">
        <v>105</v>
      </c>
      <c r="BH8" s="49" t="s">
        <v>106</v>
      </c>
      <c r="BI8" s="49" t="s">
        <v>107</v>
      </c>
      <c r="BJ8" s="49" t="s">
        <v>108</v>
      </c>
      <c r="BK8" s="49" t="s">
        <v>109</v>
      </c>
      <c r="BL8" s="49" t="s">
        <v>110</v>
      </c>
      <c r="BM8" s="49" t="s">
        <v>111</v>
      </c>
      <c r="BN8" s="49" t="s">
        <v>112</v>
      </c>
      <c r="BO8" s="49" t="s">
        <v>113</v>
      </c>
      <c r="BP8" s="49" t="s">
        <v>114</v>
      </c>
      <c r="BQ8" s="49" t="s">
        <v>115</v>
      </c>
      <c r="BR8" s="49" t="s">
        <v>116</v>
      </c>
      <c r="BS8" s="49" t="s">
        <v>117</v>
      </c>
      <c r="BT8" s="49" t="s">
        <v>118</v>
      </c>
      <c r="BU8" s="49" t="s">
        <v>119</v>
      </c>
      <c r="BV8" s="49" t="s">
        <v>120</v>
      </c>
      <c r="BW8" s="49" t="s">
        <v>121</v>
      </c>
      <c r="BX8" s="49"/>
    </row>
    <row r="9" spans="1:76">
      <c r="J9">
        <v>435</v>
      </c>
      <c r="K9">
        <f>T7+T6</f>
        <v>1.4645065313428163</v>
      </c>
      <c r="L9" t="s">
        <v>122</v>
      </c>
    </row>
    <row r="10" spans="1:76">
      <c r="J10">
        <v>440</v>
      </c>
      <c r="K10">
        <f>U7+U6</f>
        <v>1.473699463237615</v>
      </c>
    </row>
    <row r="11" spans="1:76">
      <c r="J11">
        <v>445</v>
      </c>
      <c r="K11">
        <f>V7+V6</f>
        <v>1.4049571471420887</v>
      </c>
    </row>
    <row r="12" spans="1:76">
      <c r="J12">
        <v>450</v>
      </c>
      <c r="K12">
        <f>W7+W6</f>
        <v>1.3089023405966107</v>
      </c>
    </row>
    <row r="13" spans="1:76">
      <c r="D13" t="s">
        <v>123</v>
      </c>
      <c r="J13">
        <v>455</v>
      </c>
      <c r="K13">
        <f>X7+X6</f>
        <v>1.2568746882197421</v>
      </c>
      <c r="P13" t="s">
        <v>54</v>
      </c>
      <c r="Q13" t="s">
        <v>55</v>
      </c>
      <c r="R13" t="s">
        <v>56</v>
      </c>
      <c r="U13" t="s">
        <v>124</v>
      </c>
      <c r="V13" t="s">
        <v>125</v>
      </c>
      <c r="W13" t="s">
        <v>126</v>
      </c>
      <c r="X13" t="s">
        <v>127</v>
      </c>
    </row>
    <row r="14" spans="1:76">
      <c r="D14" s="2">
        <v>1.4007053999999999E-5</v>
      </c>
      <c r="J14">
        <v>460</v>
      </c>
      <c r="K14">
        <f>Y7+Y6</f>
        <v>1.2290848505974175</v>
      </c>
      <c r="O14" s="49">
        <v>400</v>
      </c>
      <c r="P14">
        <v>-0.26609849000000002</v>
      </c>
      <c r="Q14">
        <v>-0.24867822000000001</v>
      </c>
      <c r="R14">
        <v>-0.31506000000000001</v>
      </c>
      <c r="T14">
        <v>400</v>
      </c>
      <c r="U14">
        <v>0.98504666614451475</v>
      </c>
      <c r="V14">
        <v>0.30357824215734946</v>
      </c>
      <c r="W14">
        <v>1.7269962803870637E-2</v>
      </c>
      <c r="X14">
        <f>2*W14</f>
        <v>3.4539925607741273E-2</v>
      </c>
    </row>
    <row r="15" spans="1:76">
      <c r="D15" s="2">
        <v>1.6612984000000001E-5</v>
      </c>
      <c r="J15">
        <v>465</v>
      </c>
      <c r="K15">
        <f>Z7+Z6</f>
        <v>1.2030795464188644</v>
      </c>
      <c r="O15" s="49">
        <v>405</v>
      </c>
      <c r="P15">
        <v>-0.25756000000000001</v>
      </c>
      <c r="Q15">
        <v>-0.22664361999999999</v>
      </c>
      <c r="R15">
        <v>-0.25176187</v>
      </c>
      <c r="T15">
        <v>405</v>
      </c>
      <c r="U15">
        <v>1.0288585084314246</v>
      </c>
      <c r="V15">
        <v>0.28846206524705809</v>
      </c>
      <c r="W15">
        <v>1.6410033544374661E-2</v>
      </c>
      <c r="X15">
        <f t="shared" ref="X15:X76" si="0">2*W15</f>
        <v>3.2820067088749322E-2</v>
      </c>
    </row>
    <row r="16" spans="1:76">
      <c r="D16" s="2">
        <v>1.8874267999999999E-5</v>
      </c>
      <c r="J16">
        <v>470</v>
      </c>
      <c r="K16">
        <f>AA7+AA6</f>
        <v>1.1552333717824681</v>
      </c>
      <c r="O16" s="49">
        <v>410</v>
      </c>
      <c r="P16">
        <v>-0.25129082000000003</v>
      </c>
      <c r="Q16">
        <v>-0.219972</v>
      </c>
      <c r="R16">
        <v>-0.19138156000000001</v>
      </c>
      <c r="T16">
        <v>410</v>
      </c>
      <c r="U16">
        <v>1.0921371518042413</v>
      </c>
      <c r="V16">
        <v>0.27860745148218008</v>
      </c>
      <c r="W16">
        <v>1.5849424154332329E-2</v>
      </c>
      <c r="X16">
        <f t="shared" si="0"/>
        <v>3.1698848308664658E-2</v>
      </c>
    </row>
    <row r="17" spans="4:24">
      <c r="D17" s="2">
        <v>2.1816563999999999E-5</v>
      </c>
      <c r="J17">
        <v>475</v>
      </c>
      <c r="K17">
        <f>AB7+AB6</f>
        <v>1.0907921213549923</v>
      </c>
      <c r="O17" s="49">
        <v>415</v>
      </c>
      <c r="P17">
        <v>-0.24982025999999999</v>
      </c>
      <c r="Q17">
        <v>-0.21060097</v>
      </c>
      <c r="R17">
        <v>-0.13189044999999999</v>
      </c>
      <c r="T17">
        <v>415</v>
      </c>
      <c r="U17">
        <v>1.1466896889490876</v>
      </c>
      <c r="V17">
        <v>0.27427965842063073</v>
      </c>
      <c r="W17">
        <v>1.5603224608987221E-2</v>
      </c>
      <c r="X17">
        <f t="shared" si="0"/>
        <v>3.1206449217974441E-2</v>
      </c>
    </row>
    <row r="18" spans="4:24">
      <c r="D18" s="2">
        <v>2.2586746000000001E-5</v>
      </c>
      <c r="J18">
        <v>480</v>
      </c>
      <c r="K18">
        <f>AC7+AC6</f>
        <v>1.028325194852775</v>
      </c>
      <c r="O18" s="49">
        <v>420</v>
      </c>
      <c r="P18">
        <v>-0.23970941000000001</v>
      </c>
      <c r="Q18">
        <v>-0.19499696</v>
      </c>
      <c r="R18">
        <v>-7.7256079000000005E-2</v>
      </c>
      <c r="T18">
        <v>420</v>
      </c>
      <c r="U18">
        <v>1.1731831631174741</v>
      </c>
      <c r="V18">
        <v>0.26154803290269696</v>
      </c>
      <c r="W18">
        <v>1.4878947738665394E-2</v>
      </c>
      <c r="X18">
        <f t="shared" si="0"/>
        <v>2.9757895477330789E-2</v>
      </c>
    </row>
    <row r="19" spans="4:24">
      <c r="D19" s="2">
        <v>2.5049227000000001E-5</v>
      </c>
      <c r="J19">
        <v>485</v>
      </c>
      <c r="K19">
        <f>AD7+AD6</f>
        <v>0.98590952064967274</v>
      </c>
      <c r="O19" s="49">
        <v>425</v>
      </c>
      <c r="P19">
        <v>-0.23773685999999999</v>
      </c>
      <c r="Q19">
        <v>-0.17310950999999999</v>
      </c>
      <c r="R19">
        <v>-2.8441615E-2</v>
      </c>
      <c r="T19">
        <v>425</v>
      </c>
      <c r="U19">
        <v>1.2017878076422774</v>
      </c>
      <c r="V19">
        <v>0.25753909054499702</v>
      </c>
      <c r="W19">
        <v>1.4650886976114256E-2</v>
      </c>
      <c r="X19">
        <f t="shared" si="0"/>
        <v>2.9301773952228511E-2</v>
      </c>
    </row>
    <row r="20" spans="4:24">
      <c r="D20" s="2">
        <v>2.6255902999999999E-5</v>
      </c>
      <c r="J20">
        <v>490</v>
      </c>
      <c r="K20">
        <f>AE7+AE6</f>
        <v>0.94215918770909401</v>
      </c>
      <c r="O20" s="49">
        <v>430</v>
      </c>
      <c r="P20">
        <v>-0.23308936999999999</v>
      </c>
      <c r="Q20">
        <v>-0.15328737000000001</v>
      </c>
      <c r="R20">
        <v>4.7022877999999997E-2</v>
      </c>
      <c r="T20">
        <v>430</v>
      </c>
      <c r="U20">
        <v>1.257042264676469</v>
      </c>
      <c r="V20">
        <v>0.25189686173192116</v>
      </c>
      <c r="W20">
        <v>1.4329911793438805E-2</v>
      </c>
      <c r="X20">
        <f t="shared" si="0"/>
        <v>2.865982358687761E-2</v>
      </c>
    </row>
    <row r="21" spans="4:24">
      <c r="D21" s="2">
        <v>2.7681571E-5</v>
      </c>
      <c r="J21">
        <v>495</v>
      </c>
      <c r="K21">
        <f>AF7+AF6</f>
        <v>0.89591840832410086</v>
      </c>
      <c r="O21" s="49">
        <v>435</v>
      </c>
      <c r="P21">
        <v>-0.22537531999999999</v>
      </c>
      <c r="Q21">
        <v>-0.13338950999999999</v>
      </c>
      <c r="R21">
        <v>0.11776457</v>
      </c>
      <c r="T21">
        <v>435</v>
      </c>
      <c r="U21">
        <v>1.3199644136049009</v>
      </c>
      <c r="V21">
        <v>0.24513534748975327</v>
      </c>
      <c r="W21">
        <v>1.3945262687395307E-2</v>
      </c>
      <c r="X21">
        <f t="shared" si="0"/>
        <v>2.7890525374790615E-2</v>
      </c>
    </row>
    <row r="22" spans="4:24">
      <c r="D22" s="2">
        <v>2.9195464999999999E-5</v>
      </c>
      <c r="J22">
        <v>500</v>
      </c>
      <c r="K22">
        <f>AG7+AG6</f>
        <v>0.85652848530252035</v>
      </c>
      <c r="O22" s="49">
        <v>440</v>
      </c>
      <c r="P22">
        <v>-0.21830853</v>
      </c>
      <c r="Q22">
        <v>-0.11898110000000001</v>
      </c>
      <c r="R22">
        <v>0.16579340000000001</v>
      </c>
      <c r="T22">
        <v>440</v>
      </c>
      <c r="U22">
        <v>1.3291603887969723</v>
      </c>
      <c r="V22">
        <v>0.2388046576690312</v>
      </c>
      <c r="W22">
        <v>1.3585122326380749E-2</v>
      </c>
      <c r="X22">
        <f t="shared" si="0"/>
        <v>2.7170244652761497E-2</v>
      </c>
    </row>
    <row r="23" spans="4:24">
      <c r="D23" s="2">
        <v>3.0844505E-5</v>
      </c>
      <c r="J23">
        <v>505</v>
      </c>
      <c r="K23">
        <f>AH7+AH6</f>
        <v>0.80331281760084561</v>
      </c>
      <c r="O23" s="49">
        <v>445</v>
      </c>
      <c r="P23">
        <v>-0.20742932</v>
      </c>
      <c r="Q23">
        <v>-6.7485313000000005E-2</v>
      </c>
      <c r="R23">
        <v>0.17509623999999999</v>
      </c>
      <c r="T23">
        <v>445</v>
      </c>
      <c r="U23">
        <v>1.2640008499492756</v>
      </c>
      <c r="V23">
        <v>0.22522487509524208</v>
      </c>
      <c r="W23">
        <v>1.2812595486949246E-2</v>
      </c>
      <c r="X23">
        <f t="shared" si="0"/>
        <v>2.5625190973898492E-2</v>
      </c>
    </row>
    <row r="24" spans="4:24">
      <c r="D24" s="2">
        <v>3.3883188000000002E-5</v>
      </c>
      <c r="J24">
        <v>510</v>
      </c>
      <c r="K24">
        <f>AI7+AI6</f>
        <v>0.74622439306239285</v>
      </c>
      <c r="O24" s="49">
        <v>450</v>
      </c>
      <c r="P24">
        <v>-0.20652369000000001</v>
      </c>
      <c r="Q24">
        <v>-7.8701476999999999E-3</v>
      </c>
      <c r="R24">
        <v>0.17925252999999999</v>
      </c>
      <c r="T24">
        <v>450</v>
      </c>
      <c r="U24">
        <v>1.1822140203081115</v>
      </c>
      <c r="V24">
        <v>0.22309267291353321</v>
      </c>
      <c r="W24">
        <v>1.2691298742799322E-2</v>
      </c>
      <c r="X24">
        <f t="shared" si="0"/>
        <v>2.5382597485598644E-2</v>
      </c>
    </row>
    <row r="25" spans="4:24">
      <c r="D25" s="2">
        <v>3.5123277E-5</v>
      </c>
      <c r="J25">
        <v>515</v>
      </c>
      <c r="K25">
        <f>AJ7+AJ6</f>
        <v>0.68259435208665797</v>
      </c>
      <c r="O25" s="49">
        <v>455</v>
      </c>
      <c r="P25">
        <v>-0.20438970000000001</v>
      </c>
      <c r="Q25">
        <v>4.4808089000000002E-2</v>
      </c>
      <c r="R25">
        <v>0.2110532</v>
      </c>
      <c r="T25">
        <v>455</v>
      </c>
      <c r="U25">
        <v>1.1383868666613417</v>
      </c>
      <c r="V25">
        <v>0.22359408230567787</v>
      </c>
      <c r="W25">
        <v>1.271982292651655E-2</v>
      </c>
      <c r="X25">
        <f t="shared" si="0"/>
        <v>2.5439645853033099E-2</v>
      </c>
    </row>
    <row r="26" spans="4:24">
      <c r="D26" s="2">
        <v>3.7181002999999997E-5</v>
      </c>
      <c r="J26">
        <v>520</v>
      </c>
      <c r="K26">
        <f>AK7+AK6</f>
        <v>0.63512307563234027</v>
      </c>
      <c r="O26" s="49">
        <v>460</v>
      </c>
      <c r="P26">
        <v>-0.19850667</v>
      </c>
      <c r="Q26">
        <v>8.5197034000000005E-2</v>
      </c>
      <c r="R26">
        <v>0.23129947000000001</v>
      </c>
      <c r="T26">
        <v>460</v>
      </c>
      <c r="U26">
        <v>1.1192658758638367</v>
      </c>
      <c r="V26">
        <v>0.22092469440928567</v>
      </c>
      <c r="W26">
        <v>1.2567966754769231E-2</v>
      </c>
      <c r="X26">
        <f t="shared" si="0"/>
        <v>2.5135933509538463E-2</v>
      </c>
    </row>
    <row r="27" spans="4:24">
      <c r="D27" s="2">
        <v>4.0021293999999999E-5</v>
      </c>
      <c r="J27">
        <v>525</v>
      </c>
      <c r="K27">
        <f>AL7+AL6</f>
        <v>0.59545691477382423</v>
      </c>
      <c r="O27" s="49">
        <v>465</v>
      </c>
      <c r="P27">
        <v>-0.19079115999999999</v>
      </c>
      <c r="Q27">
        <v>0.11431829</v>
      </c>
      <c r="R27">
        <v>0.23928181000000001</v>
      </c>
      <c r="T27">
        <v>465</v>
      </c>
      <c r="U27">
        <v>1.0922929094577036</v>
      </c>
      <c r="V27">
        <v>0.2142593574346531</v>
      </c>
      <c r="W27">
        <v>1.2188788982313771E-2</v>
      </c>
      <c r="X27">
        <f t="shared" si="0"/>
        <v>2.4377577964627542E-2</v>
      </c>
    </row>
    <row r="28" spans="4:24">
      <c r="D28" s="2">
        <v>4.1911729E-5</v>
      </c>
      <c r="J28">
        <v>530</v>
      </c>
      <c r="K28">
        <f>AM7+AM6</f>
        <v>0.56343743003485813</v>
      </c>
      <c r="O28" s="49">
        <v>470</v>
      </c>
      <c r="P28">
        <v>-0.17876545999999999</v>
      </c>
      <c r="Q28">
        <v>0.13711935</v>
      </c>
      <c r="R28">
        <v>0.21128031999999999</v>
      </c>
      <c r="T28">
        <v>470</v>
      </c>
      <c r="U28">
        <v>1.0288433951623204</v>
      </c>
      <c r="V28">
        <v>0.20136334959403923</v>
      </c>
      <c r="W28">
        <v>1.1455160728381165E-2</v>
      </c>
      <c r="X28">
        <f t="shared" si="0"/>
        <v>2.291032145676233E-2</v>
      </c>
    </row>
    <row r="29" spans="4:24">
      <c r="D29" s="2">
        <v>4.4554754999999999E-5</v>
      </c>
      <c r="J29">
        <v>535</v>
      </c>
      <c r="K29">
        <f>AN7+AN6</f>
        <v>0.53200081285477785</v>
      </c>
      <c r="O29" s="49">
        <v>475</v>
      </c>
      <c r="P29">
        <v>-0.16776352</v>
      </c>
      <c r="Q29">
        <v>0.14576924999999999</v>
      </c>
      <c r="R29">
        <v>0.15718893</v>
      </c>
      <c r="T29">
        <v>475</v>
      </c>
      <c r="U29">
        <v>0.94399863841050524</v>
      </c>
      <c r="V29">
        <v>0.18778632183049437</v>
      </c>
      <c r="W29">
        <v>1.0682790604628994E-2</v>
      </c>
      <c r="X29">
        <f t="shared" si="0"/>
        <v>2.1365581209257987E-2</v>
      </c>
    </row>
    <row r="30" spans="4:24">
      <c r="D30" s="2">
        <v>4.6686997000000001E-5</v>
      </c>
      <c r="J30">
        <v>540</v>
      </c>
      <c r="K30">
        <f>AO7+AO6</f>
        <v>0.50532688558391281</v>
      </c>
      <c r="O30" s="49">
        <v>480</v>
      </c>
      <c r="P30">
        <v>-0.15690933000000001</v>
      </c>
      <c r="Q30">
        <v>0.15380287000000001</v>
      </c>
      <c r="R30">
        <v>0.10382512000000001</v>
      </c>
      <c r="T30">
        <v>480</v>
      </c>
      <c r="U30">
        <v>0.86535588751030335</v>
      </c>
      <c r="V30">
        <v>0.17693791480715529</v>
      </c>
      <c r="W30">
        <v>1.0065646291377428E-2</v>
      </c>
      <c r="X30">
        <f t="shared" si="0"/>
        <v>2.0131292582754857E-2</v>
      </c>
    </row>
    <row r="31" spans="4:24">
      <c r="D31" s="2">
        <v>5.0487427000000001E-5</v>
      </c>
      <c r="J31">
        <v>545</v>
      </c>
      <c r="K31">
        <f>AP7+AP6</f>
        <v>0.47600376132236877</v>
      </c>
      <c r="O31" s="49">
        <v>485</v>
      </c>
      <c r="P31">
        <v>-0.14588942999999999</v>
      </c>
      <c r="Q31">
        <v>0.17083835</v>
      </c>
      <c r="R31">
        <v>7.8891837000000006E-2</v>
      </c>
      <c r="T31">
        <v>485</v>
      </c>
      <c r="U31">
        <v>0.81491690029989539</v>
      </c>
      <c r="V31">
        <v>0.16932300086855714</v>
      </c>
      <c r="W31">
        <v>9.6324489728222256E-3</v>
      </c>
      <c r="X31">
        <f t="shared" si="0"/>
        <v>1.9264897945644451E-2</v>
      </c>
    </row>
    <row r="32" spans="4:24">
      <c r="D32" s="2">
        <v>5.3012374000000003E-5</v>
      </c>
      <c r="J32">
        <v>550</v>
      </c>
      <c r="K32">
        <f>AQ7+AQ6</f>
        <v>0.43303116870330088</v>
      </c>
      <c r="O32" s="49">
        <v>490</v>
      </c>
      <c r="P32">
        <v>-0.14167273999999999</v>
      </c>
      <c r="Q32">
        <v>0.16884678</v>
      </c>
      <c r="R32">
        <v>6.5032356999999999E-2</v>
      </c>
      <c r="T32">
        <v>490</v>
      </c>
      <c r="U32">
        <v>0.79091323717638207</v>
      </c>
      <c r="V32">
        <v>0.16512293876432182</v>
      </c>
      <c r="W32">
        <v>9.3935157877605147E-3</v>
      </c>
      <c r="X32">
        <f t="shared" si="0"/>
        <v>1.8787031575521029E-2</v>
      </c>
    </row>
    <row r="33" spans="4:24">
      <c r="D33" s="2">
        <v>5.6688889000000002E-5</v>
      </c>
      <c r="J33">
        <v>555</v>
      </c>
      <c r="K33">
        <f>AR7+AR6</f>
        <v>0.41395646095678884</v>
      </c>
      <c r="O33" s="49">
        <v>495</v>
      </c>
      <c r="P33">
        <v>-0.13678352999999999</v>
      </c>
      <c r="Q33">
        <v>0.17034958</v>
      </c>
      <c r="R33">
        <v>5.0991943999999997E-2</v>
      </c>
      <c r="T33">
        <v>495</v>
      </c>
      <c r="U33">
        <v>0.76364897425248091</v>
      </c>
      <c r="V33">
        <v>0.15982990322541721</v>
      </c>
      <c r="W33">
        <v>9.0924055163957157E-3</v>
      </c>
      <c r="X33">
        <f t="shared" si="0"/>
        <v>1.8184811032791431E-2</v>
      </c>
    </row>
    <row r="34" spans="4:24">
      <c r="D34" s="2">
        <v>5.8729925000000003E-5</v>
      </c>
      <c r="J34">
        <v>560</v>
      </c>
      <c r="K34">
        <f>AS7+AS6</f>
        <v>0.36415637538317797</v>
      </c>
      <c r="O34" s="49">
        <v>500</v>
      </c>
      <c r="P34">
        <v>-0.12810742999999999</v>
      </c>
      <c r="Q34">
        <v>0.17214271</v>
      </c>
      <c r="R34">
        <v>2.5840529000000001E-2</v>
      </c>
      <c r="T34">
        <v>500</v>
      </c>
      <c r="U34">
        <v>0.71874502575911181</v>
      </c>
      <c r="V34">
        <v>0.15060460780264689</v>
      </c>
      <c r="W34">
        <v>8.5675967960020354E-3</v>
      </c>
      <c r="X34">
        <f t="shared" si="0"/>
        <v>1.7135193592004071E-2</v>
      </c>
    </row>
    <row r="35" spans="4:24">
      <c r="D35" s="2">
        <v>6.3001502000000002E-5</v>
      </c>
      <c r="J35">
        <v>565</v>
      </c>
      <c r="K35">
        <f>AT7+AT6</f>
        <v>0.34868057971929922</v>
      </c>
      <c r="O35" s="49">
        <v>505</v>
      </c>
      <c r="P35">
        <v>-0.11503009</v>
      </c>
      <c r="Q35">
        <v>0.17998805000000001</v>
      </c>
      <c r="R35">
        <v>2.4997315E-3</v>
      </c>
      <c r="T35">
        <v>505</v>
      </c>
      <c r="U35">
        <v>0.65897354209809011</v>
      </c>
      <c r="V35">
        <v>0.13861354461513248</v>
      </c>
      <c r="W35">
        <v>7.8854490447152325E-3</v>
      </c>
      <c r="X35">
        <f t="shared" si="0"/>
        <v>1.5770898089430465E-2</v>
      </c>
    </row>
    <row r="36" spans="4:24">
      <c r="D36" s="2">
        <v>6.5464137000000004E-5</v>
      </c>
      <c r="J36">
        <v>570</v>
      </c>
      <c r="K36">
        <f>AU7+AU6</f>
        <v>0.32783637311397879</v>
      </c>
      <c r="O36" s="49">
        <v>510</v>
      </c>
      <c r="P36">
        <v>-0.11076735</v>
      </c>
      <c r="Q36">
        <v>0.17442368999999999</v>
      </c>
      <c r="R36">
        <v>-3.3758661000000002E-2</v>
      </c>
      <c r="T36">
        <v>510</v>
      </c>
      <c r="U36">
        <v>0.59863720235618456</v>
      </c>
      <c r="V36">
        <v>0.13354728283484024</v>
      </c>
      <c r="W36">
        <v>7.597239481742111E-3</v>
      </c>
      <c r="X36">
        <f t="shared" si="0"/>
        <v>1.5194478963484222E-2</v>
      </c>
    </row>
    <row r="37" spans="4:24">
      <c r="D37" s="2">
        <v>6.8358040000000001E-5</v>
      </c>
      <c r="J37">
        <v>575</v>
      </c>
      <c r="K37">
        <f>AV7+AV6</f>
        <v>0.31744122169448336</v>
      </c>
      <c r="O37" s="49">
        <v>515</v>
      </c>
      <c r="P37">
        <v>-0.10392327</v>
      </c>
      <c r="Q37">
        <v>0.18037479000000001</v>
      </c>
      <c r="R37">
        <v>-6.5408439999999998E-2</v>
      </c>
      <c r="T37">
        <v>515</v>
      </c>
      <c r="U37">
        <v>0.54373768378039489</v>
      </c>
      <c r="V37">
        <v>0.12809657805229882</v>
      </c>
      <c r="W37">
        <v>7.2871597204903832E-3</v>
      </c>
      <c r="X37">
        <f t="shared" si="0"/>
        <v>1.4574319440980766E-2</v>
      </c>
    </row>
    <row r="38" spans="4:24">
      <c r="D38" s="2">
        <v>7.3291333999999994E-5</v>
      </c>
      <c r="J38">
        <v>580</v>
      </c>
      <c r="K38">
        <f>AW7+AW6</f>
        <v>0.32025431475285115</v>
      </c>
      <c r="O38" s="49">
        <v>520</v>
      </c>
      <c r="P38">
        <v>-9.8646954999999995E-2</v>
      </c>
      <c r="Q38">
        <v>0.18309575</v>
      </c>
      <c r="R38">
        <v>-7.8584185000000001E-2</v>
      </c>
      <c r="T38">
        <v>520</v>
      </c>
      <c r="U38">
        <v>0.49690518853433235</v>
      </c>
      <c r="V38">
        <v>0.12418369987701233</v>
      </c>
      <c r="W38">
        <v>7.0645638583394666E-3</v>
      </c>
      <c r="X38">
        <f t="shared" si="0"/>
        <v>1.4129127716678933E-2</v>
      </c>
    </row>
    <row r="39" spans="4:24">
      <c r="D39" s="2">
        <v>7.8654271999999993E-5</v>
      </c>
      <c r="J39">
        <v>585</v>
      </c>
      <c r="K39">
        <f>AX7+AX6</f>
        <v>0.32337376951353725</v>
      </c>
      <c r="O39" s="49">
        <v>525</v>
      </c>
      <c r="P39">
        <v>-9.1003314000000002E-2</v>
      </c>
      <c r="Q39">
        <v>0.18994813999999999</v>
      </c>
      <c r="R39">
        <v>-9.1981852000000003E-2</v>
      </c>
      <c r="T39">
        <v>525</v>
      </c>
      <c r="U39">
        <v>0.46021758495096432</v>
      </c>
      <c r="V39">
        <v>0.11909011657690292</v>
      </c>
      <c r="W39">
        <v>6.7748000284082299E-3</v>
      </c>
      <c r="X39">
        <f t="shared" si="0"/>
        <v>1.354960005681646E-2</v>
      </c>
    </row>
    <row r="40" spans="4:24">
      <c r="D40" s="2">
        <v>8.2421454000000004E-5</v>
      </c>
      <c r="J40">
        <v>590</v>
      </c>
      <c r="K40">
        <f>AY7+AY6</f>
        <v>0.31953943416532943</v>
      </c>
      <c r="O40" s="49">
        <v>530</v>
      </c>
      <c r="P40">
        <v>-8.6428814000000007E-2</v>
      </c>
      <c r="Q40">
        <v>0.18705144000000001</v>
      </c>
      <c r="R40">
        <v>-9.3332043000000003E-2</v>
      </c>
      <c r="T40">
        <v>530</v>
      </c>
      <c r="U40">
        <v>0.43088531609703956</v>
      </c>
      <c r="V40">
        <v>0.11520197143992295</v>
      </c>
      <c r="W40">
        <v>6.5536111796471556E-3</v>
      </c>
      <c r="X40">
        <f t="shared" si="0"/>
        <v>1.3107222359294311E-2</v>
      </c>
    </row>
    <row r="41" spans="4:24">
      <c r="D41" s="2">
        <v>8.8367163000000002E-5</v>
      </c>
      <c r="J41">
        <v>595</v>
      </c>
      <c r="K41">
        <f>AZ7+AZ6</f>
        <v>0.31000566519379874</v>
      </c>
      <c r="O41" s="49">
        <v>535</v>
      </c>
      <c r="P41">
        <v>-8.3315996000000003E-2</v>
      </c>
      <c r="Q41">
        <v>0.18617640999999999</v>
      </c>
      <c r="R41">
        <v>-0.10674324</v>
      </c>
      <c r="T41">
        <v>535</v>
      </c>
      <c r="U41">
        <v>0.40460199590312496</v>
      </c>
      <c r="V41">
        <v>0.11284443494212137</v>
      </c>
      <c r="W41">
        <v>6.4194956141294607E-3</v>
      </c>
      <c r="X41">
        <f t="shared" si="0"/>
        <v>1.2838991228258921E-2</v>
      </c>
    </row>
    <row r="42" spans="4:24">
      <c r="D42" s="2">
        <v>9.2605721000000004E-5</v>
      </c>
      <c r="J42">
        <v>600</v>
      </c>
      <c r="K42">
        <f>BA7+BA6</f>
        <v>0.29416800193896858</v>
      </c>
      <c r="O42" s="49">
        <v>540</v>
      </c>
      <c r="P42">
        <v>-7.8474458999999996E-2</v>
      </c>
      <c r="Q42">
        <v>0.18135818000000001</v>
      </c>
      <c r="R42">
        <v>-0.11018666000000001</v>
      </c>
      <c r="T42">
        <v>540</v>
      </c>
      <c r="U42">
        <v>0.37912483759936927</v>
      </c>
      <c r="V42">
        <v>0.10891311670135291</v>
      </c>
      <c r="W42">
        <v>6.1958507333047703E-3</v>
      </c>
      <c r="X42">
        <f t="shared" si="0"/>
        <v>1.2391701466609541E-2</v>
      </c>
    </row>
    <row r="43" spans="4:24">
      <c r="D43" s="2">
        <v>9.6966811000000005E-5</v>
      </c>
      <c r="J43">
        <v>605</v>
      </c>
      <c r="K43">
        <f>BB7+BB6</f>
        <v>0.296492579694002</v>
      </c>
      <c r="O43" s="49">
        <v>545</v>
      </c>
      <c r="P43">
        <v>-7.2922076000000002E-2</v>
      </c>
      <c r="Q43">
        <v>0.16274636000000001</v>
      </c>
      <c r="R43">
        <v>-0.11835501</v>
      </c>
      <c r="T43">
        <v>545</v>
      </c>
      <c r="U43">
        <v>0.35362552353561583</v>
      </c>
      <c r="V43">
        <v>0.10160395100740167</v>
      </c>
      <c r="W43">
        <v>5.780046824681969E-3</v>
      </c>
      <c r="X43">
        <f t="shared" si="0"/>
        <v>1.1560093649363938E-2</v>
      </c>
    </row>
    <row r="44" spans="4:24">
      <c r="D44" s="2">
        <v>9.9863991999999996E-5</v>
      </c>
      <c r="J44">
        <v>610</v>
      </c>
      <c r="K44">
        <f>BC7+BC6</f>
        <v>0.3217919667694325</v>
      </c>
      <c r="O44" s="49">
        <v>550</v>
      </c>
      <c r="P44">
        <v>-6.7859035999999998E-2</v>
      </c>
      <c r="Q44">
        <v>0.14894204</v>
      </c>
      <c r="R44">
        <v>-0.12520681</v>
      </c>
      <c r="T44">
        <v>550</v>
      </c>
      <c r="U44">
        <v>0.32090240922644198</v>
      </c>
      <c r="V44">
        <v>9.5540836386136876E-2</v>
      </c>
      <c r="W44">
        <v>5.4351282849317631E-3</v>
      </c>
      <c r="X44">
        <f t="shared" si="0"/>
        <v>1.0870256569863526E-2</v>
      </c>
    </row>
    <row r="45" spans="4:24">
      <c r="D45" s="2">
        <v>1.0607742E-4</v>
      </c>
      <c r="J45">
        <v>615</v>
      </c>
      <c r="K45">
        <f>BD7+BD6</f>
        <v>0.34805657461070821</v>
      </c>
      <c r="O45" s="49">
        <v>555</v>
      </c>
      <c r="P45">
        <v>-6.3289561999999994E-2</v>
      </c>
      <c r="Q45">
        <v>0.13304852</v>
      </c>
      <c r="R45">
        <v>-0.13006335999999999</v>
      </c>
      <c r="T45">
        <v>555</v>
      </c>
      <c r="U45">
        <v>0.28718193551258059</v>
      </c>
      <c r="V45">
        <v>8.9776676071432249E-2</v>
      </c>
      <c r="W45">
        <v>5.1072166614798443E-3</v>
      </c>
      <c r="X45">
        <f t="shared" si="0"/>
        <v>1.0214433322959689E-2</v>
      </c>
    </row>
    <row r="46" spans="4:24">
      <c r="D46" s="2">
        <v>1.0832596E-4</v>
      </c>
      <c r="J46">
        <v>620</v>
      </c>
      <c r="K46">
        <f>BE7+BE6</f>
        <v>0.36878799133335488</v>
      </c>
      <c r="O46" s="49">
        <v>560</v>
      </c>
      <c r="P46">
        <v>-5.5082404000000001E-2</v>
      </c>
      <c r="Q46">
        <v>0.1196975</v>
      </c>
      <c r="R46">
        <v>-0.14428205</v>
      </c>
      <c r="T46">
        <v>560</v>
      </c>
      <c r="U46">
        <v>0.2587563278921402</v>
      </c>
      <c r="V46">
        <v>8.2721501888291582E-2</v>
      </c>
      <c r="W46">
        <v>4.7058618250732393E-3</v>
      </c>
      <c r="X46">
        <f t="shared" si="0"/>
        <v>9.4117236501464786E-3</v>
      </c>
    </row>
    <row r="47" spans="4:24">
      <c r="D47" s="2">
        <v>1.1352703E-4</v>
      </c>
      <c r="J47">
        <v>625</v>
      </c>
      <c r="K47">
        <f>BF7+BF6</f>
        <v>0.37483943248179152</v>
      </c>
      <c r="O47" s="49">
        <v>565</v>
      </c>
      <c r="P47">
        <v>-5.2684770999999998E-2</v>
      </c>
      <c r="Q47">
        <v>0.10746567999999999</v>
      </c>
      <c r="R47">
        <v>-0.15339560999999999</v>
      </c>
      <c r="T47">
        <v>565</v>
      </c>
      <c r="U47">
        <v>0.23850068898366156</v>
      </c>
      <c r="V47">
        <v>7.9232004158155969E-2</v>
      </c>
      <c r="W47">
        <v>4.5073512349354996E-3</v>
      </c>
      <c r="X47">
        <f t="shared" si="0"/>
        <v>9.0147024698709992E-3</v>
      </c>
    </row>
    <row r="48" spans="4:24">
      <c r="D48" s="2">
        <v>1.2503933999999999E-4</v>
      </c>
      <c r="J48">
        <v>630</v>
      </c>
      <c r="K48">
        <f>BG7+BG6</f>
        <v>0.38005081552225956</v>
      </c>
      <c r="O48" s="49">
        <v>570</v>
      </c>
      <c r="P48">
        <v>-4.6317373000000002E-2</v>
      </c>
      <c r="Q48">
        <v>8.0380449000000007E-2</v>
      </c>
      <c r="R48">
        <v>-0.14354241000000001</v>
      </c>
      <c r="T48">
        <v>570</v>
      </c>
      <c r="U48">
        <v>0.22546293768257836</v>
      </c>
      <c r="V48">
        <v>6.8551308039793354E-2</v>
      </c>
      <c r="W48">
        <v>3.8997476617256589E-3</v>
      </c>
      <c r="X48">
        <f t="shared" si="0"/>
        <v>7.7994953234513179E-3</v>
      </c>
    </row>
    <row r="49" spans="4:24">
      <c r="D49" s="2">
        <v>1.3321397999999999E-4</v>
      </c>
      <c r="J49">
        <v>635</v>
      </c>
      <c r="K49">
        <f>BH7+BH6</f>
        <v>0.38794839165927425</v>
      </c>
      <c r="O49" s="49">
        <v>575</v>
      </c>
      <c r="P49">
        <v>-4.2675676000000003E-2</v>
      </c>
      <c r="Q49">
        <v>7.5596699000000003E-2</v>
      </c>
      <c r="R49">
        <v>-0.14898065999999999</v>
      </c>
      <c r="T49">
        <v>575</v>
      </c>
      <c r="U49">
        <v>0.22626280668062984</v>
      </c>
      <c r="V49">
        <v>6.6449404519864419E-2</v>
      </c>
      <c r="W49">
        <v>3.7801745482227396E-3</v>
      </c>
      <c r="X49">
        <f t="shared" si="0"/>
        <v>7.5603490964454793E-3</v>
      </c>
    </row>
    <row r="50" spans="4:24">
      <c r="D50" s="2">
        <v>1.3739774000000001E-4</v>
      </c>
      <c r="J50">
        <v>640</v>
      </c>
      <c r="K50">
        <f>BI7+BI6</f>
        <v>0.38190933043443892</v>
      </c>
      <c r="O50" s="49">
        <v>580</v>
      </c>
      <c r="P50">
        <v>-3.6168409999999998E-2</v>
      </c>
      <c r="Q50">
        <v>7.8412559000000007E-2</v>
      </c>
      <c r="R50">
        <v>-0.14371422</v>
      </c>
      <c r="T50">
        <v>580</v>
      </c>
      <c r="U50">
        <v>0.23229657560554046</v>
      </c>
      <c r="V50">
        <v>6.2239645252908142E-2</v>
      </c>
      <c r="W50">
        <v>3.5406897108479262E-3</v>
      </c>
      <c r="X50">
        <f t="shared" si="0"/>
        <v>7.0813794216958523E-3</v>
      </c>
    </row>
    <row r="51" spans="4:24">
      <c r="D51" s="2">
        <v>1.5537588E-4</v>
      </c>
      <c r="J51">
        <v>645</v>
      </c>
      <c r="K51">
        <f>BJ7+BJ6</f>
        <v>0.38222361160312091</v>
      </c>
      <c r="O51" s="49">
        <v>585</v>
      </c>
      <c r="P51">
        <v>-3.3609618000000001E-2</v>
      </c>
      <c r="Q51">
        <v>7.4931546000000002E-2</v>
      </c>
      <c r="R51">
        <v>-0.13807437</v>
      </c>
      <c r="T51">
        <v>585</v>
      </c>
      <c r="U51">
        <v>0.2387030395379742</v>
      </c>
      <c r="V51">
        <v>6.064622206225434E-2</v>
      </c>
      <c r="W51">
        <v>3.4500430326213855E-3</v>
      </c>
      <c r="X51">
        <f t="shared" si="0"/>
        <v>6.900086065242771E-3</v>
      </c>
    </row>
    <row r="52" spans="4:24">
      <c r="D52" s="2">
        <v>1.6953465E-4</v>
      </c>
      <c r="J52">
        <v>650</v>
      </c>
      <c r="K52">
        <f>BK7+BK6</f>
        <v>0.39835756439437214</v>
      </c>
      <c r="O52" s="49">
        <v>590</v>
      </c>
      <c r="P52">
        <v>-2.9219913E-2</v>
      </c>
      <c r="Q52">
        <v>8.3061491000000001E-2</v>
      </c>
      <c r="R52">
        <v>-0.12761966</v>
      </c>
      <c r="T52">
        <v>590</v>
      </c>
      <c r="U52">
        <v>0.23908677989646085</v>
      </c>
      <c r="V52">
        <v>5.8729526430277554E-2</v>
      </c>
      <c r="W52">
        <v>3.3410060277446543E-3</v>
      </c>
      <c r="X52">
        <f t="shared" si="0"/>
        <v>6.6820120554893087E-3</v>
      </c>
    </row>
    <row r="53" spans="4:24">
      <c r="D53" s="2">
        <v>1.7239592E-4</v>
      </c>
      <c r="J53">
        <v>655</v>
      </c>
      <c r="K53">
        <f>BL7+BL6</f>
        <v>0.45061134129459696</v>
      </c>
      <c r="O53" s="49">
        <v>595</v>
      </c>
      <c r="P53">
        <v>-2.6924443999999999E-2</v>
      </c>
      <c r="Q53">
        <v>7.7639606E-2</v>
      </c>
      <c r="R53">
        <v>-0.12789481999999999</v>
      </c>
      <c r="T53">
        <v>595</v>
      </c>
      <c r="U53">
        <v>0.23209365068456633</v>
      </c>
      <c r="V53">
        <v>5.6776012511498095E-2</v>
      </c>
      <c r="W53">
        <v>3.2298745037117878E-3</v>
      </c>
      <c r="X53">
        <f t="shared" si="0"/>
        <v>6.4597490074235755E-3</v>
      </c>
    </row>
    <row r="54" spans="4:24">
      <c r="D54" s="2">
        <v>2.0469003000000001E-4</v>
      </c>
      <c r="J54">
        <v>660</v>
      </c>
      <c r="K54">
        <f>BM7+BM6</f>
        <v>0.58588149218667385</v>
      </c>
      <c r="O54" s="49">
        <v>600</v>
      </c>
      <c r="P54">
        <v>-2.3709658000000002E-2</v>
      </c>
      <c r="Q54">
        <v>6.7363839999999994E-2</v>
      </c>
      <c r="R54">
        <v>-0.13441053</v>
      </c>
      <c r="T54">
        <v>600</v>
      </c>
      <c r="U54">
        <v>0.22289092674696406</v>
      </c>
      <c r="V54">
        <v>5.3938013609526873E-2</v>
      </c>
      <c r="W54">
        <v>3.0684263869885054E-3</v>
      </c>
      <c r="X54">
        <f t="shared" si="0"/>
        <v>6.1368527739770109E-3</v>
      </c>
    </row>
    <row r="55" spans="4:24">
      <c r="D55" s="2">
        <v>2.2019088E-4</v>
      </c>
      <c r="J55">
        <v>665</v>
      </c>
      <c r="K55">
        <f>BN7+BN6</f>
        <v>0.77247777496335979</v>
      </c>
      <c r="O55" s="49">
        <v>605</v>
      </c>
      <c r="P55">
        <v>-2.0645976E-2</v>
      </c>
      <c r="Q55">
        <v>5.9266772000000002E-2</v>
      </c>
      <c r="R55">
        <v>-0.13449204000000001</v>
      </c>
      <c r="T55">
        <v>605</v>
      </c>
      <c r="U55">
        <v>0.22734759515967776</v>
      </c>
      <c r="V55">
        <v>5.1243817984892144E-2</v>
      </c>
      <c r="W55">
        <v>2.9151589528893375E-3</v>
      </c>
      <c r="X55">
        <f t="shared" si="0"/>
        <v>5.8303179057786749E-3</v>
      </c>
    </row>
    <row r="56" spans="4:24">
      <c r="D56" s="2">
        <v>2.2452082E-4</v>
      </c>
      <c r="J56">
        <v>670</v>
      </c>
      <c r="K56">
        <f>BO7+BO6</f>
        <v>0.94543861409586127</v>
      </c>
      <c r="O56" s="49">
        <v>610</v>
      </c>
      <c r="P56">
        <v>-1.7731134999999999E-2</v>
      </c>
      <c r="Q56">
        <v>6.3726140000000001E-2</v>
      </c>
      <c r="R56">
        <v>-0.13176739000000001</v>
      </c>
      <c r="T56">
        <v>610</v>
      </c>
      <c r="U56">
        <v>0.24855174870135402</v>
      </c>
      <c r="V56">
        <v>5.2138324713102861E-2</v>
      </c>
      <c r="W56">
        <v>2.9660456627346502E-3</v>
      </c>
      <c r="X56">
        <f t="shared" si="0"/>
        <v>5.9320913254693004E-3</v>
      </c>
    </row>
    <row r="57" spans="4:24">
      <c r="D57" s="2">
        <v>2.3828993999999999E-4</v>
      </c>
      <c r="J57">
        <v>675</v>
      </c>
      <c r="K57">
        <f>BP7+BP6</f>
        <v>1.0023549793658522</v>
      </c>
      <c r="O57" s="49">
        <v>615</v>
      </c>
      <c r="P57">
        <v>-1.6501891000000001E-2</v>
      </c>
      <c r="Q57">
        <v>6.4153065999999995E-2</v>
      </c>
      <c r="R57">
        <v>-0.12803513</v>
      </c>
      <c r="T57">
        <v>615</v>
      </c>
      <c r="U57">
        <v>0.27820144830060012</v>
      </c>
      <c r="V57">
        <v>5.2248805762872046E-2</v>
      </c>
      <c r="W57">
        <v>2.9723307100637582E-3</v>
      </c>
      <c r="X57">
        <f t="shared" si="0"/>
        <v>5.9446614201275165E-3</v>
      </c>
    </row>
    <row r="58" spans="4:24">
      <c r="D58" s="2">
        <v>2.8055666000000002E-4</v>
      </c>
      <c r="J58">
        <v>680</v>
      </c>
      <c r="K58">
        <f>BQ7+BQ6</f>
        <v>0.92116087692834858</v>
      </c>
      <c r="O58" s="49">
        <v>620</v>
      </c>
      <c r="P58">
        <v>-1.2371392E-2</v>
      </c>
      <c r="Q58">
        <v>7.1370111E-2</v>
      </c>
      <c r="R58">
        <v>-0.11078648000000001</v>
      </c>
      <c r="T58">
        <v>620</v>
      </c>
      <c r="U58">
        <v>0.30318057668675319</v>
      </c>
      <c r="V58">
        <v>5.0242677717715886E-2</v>
      </c>
      <c r="W58">
        <v>2.8582060729572191E-3</v>
      </c>
      <c r="X58">
        <f t="shared" si="0"/>
        <v>5.7164121459144382E-3</v>
      </c>
    </row>
    <row r="59" spans="4:24">
      <c r="D59" s="2">
        <v>2.8844881999999999E-4</v>
      </c>
      <c r="J59">
        <v>685</v>
      </c>
      <c r="K59">
        <f>BR7+BR6</f>
        <v>0.71178426512989668</v>
      </c>
      <c r="O59" s="49">
        <v>625</v>
      </c>
      <c r="P59">
        <v>-1.0668751000000001E-2</v>
      </c>
      <c r="Q59">
        <v>7.0147688E-2</v>
      </c>
      <c r="R59">
        <v>-0.10347855</v>
      </c>
      <c r="T59">
        <v>625</v>
      </c>
      <c r="U59">
        <v>0.31705243766294522</v>
      </c>
      <c r="V59">
        <v>4.8977921183083015E-2</v>
      </c>
      <c r="W59">
        <v>2.7862565875334884E-3</v>
      </c>
      <c r="X59">
        <f t="shared" si="0"/>
        <v>5.5725131750669768E-3</v>
      </c>
    </row>
    <row r="60" spans="4:24">
      <c r="D60" s="2">
        <v>3.1343948000000003E-4</v>
      </c>
      <c r="J60">
        <v>690</v>
      </c>
      <c r="K60">
        <f>BS7+BS6</f>
        <v>0.46256168588527607</v>
      </c>
      <c r="O60" s="49">
        <v>630</v>
      </c>
      <c r="P60">
        <v>-1.0013962E-2</v>
      </c>
      <c r="Q60">
        <v>7.3553278999999999E-2</v>
      </c>
      <c r="R60">
        <v>-9.8499373000000001E-2</v>
      </c>
      <c r="T60">
        <v>630</v>
      </c>
      <c r="U60">
        <v>0.33062637718334142</v>
      </c>
      <c r="V60">
        <v>4.9537366593882609E-2</v>
      </c>
      <c r="W60">
        <v>2.8180823249995394E-3</v>
      </c>
      <c r="X60">
        <f t="shared" si="0"/>
        <v>5.6361646499990788E-3</v>
      </c>
    </row>
    <row r="61" spans="4:24">
      <c r="D61" s="2">
        <v>3.4063285999999998E-4</v>
      </c>
      <c r="J61">
        <v>695</v>
      </c>
      <c r="K61">
        <f>BT7+BT6</f>
        <v>0.2759839632116855</v>
      </c>
      <c r="O61" s="49">
        <v>635</v>
      </c>
      <c r="P61">
        <v>-1.1697867000000001E-2</v>
      </c>
      <c r="Q61">
        <v>7.4342267000000004E-2</v>
      </c>
      <c r="R61">
        <v>-8.6250600999999996E-2</v>
      </c>
      <c r="T61">
        <v>635</v>
      </c>
      <c r="U61">
        <v>0.33716950136984264</v>
      </c>
      <c r="V61">
        <v>4.9292443160495011E-2</v>
      </c>
      <c r="W61">
        <v>2.8041491176842149E-3</v>
      </c>
      <c r="X61">
        <f t="shared" si="0"/>
        <v>5.6082982353684299E-3</v>
      </c>
    </row>
    <row r="62" spans="4:24">
      <c r="D62" s="2">
        <v>3.8593756999999999E-4</v>
      </c>
      <c r="J62">
        <v>700</v>
      </c>
      <c r="K62">
        <f>BU7+BU6</f>
        <v>0.15735171650259464</v>
      </c>
      <c r="O62" s="49">
        <v>640</v>
      </c>
      <c r="P62">
        <v>-1.1032360999999999E-2</v>
      </c>
      <c r="Q62">
        <v>8.2093214999999997E-2</v>
      </c>
      <c r="R62">
        <v>-6.7637995000000006E-2</v>
      </c>
      <c r="T62">
        <v>640</v>
      </c>
      <c r="U62">
        <v>0.33074846334408986</v>
      </c>
      <c r="V62">
        <v>4.9001637196204664E-2</v>
      </c>
      <c r="W62">
        <v>2.7876057443820042E-3</v>
      </c>
      <c r="X62">
        <f t="shared" si="0"/>
        <v>5.5752114887640085E-3</v>
      </c>
    </row>
    <row r="63" spans="4:24">
      <c r="D63" s="2">
        <v>4.5716908000000001E-4</v>
      </c>
      <c r="J63">
        <v>705</v>
      </c>
      <c r="K63">
        <f>BV7+BV6</f>
        <v>0.11144374371564632</v>
      </c>
      <c r="O63" s="49">
        <v>645</v>
      </c>
      <c r="P63">
        <v>-1.2064274E-2</v>
      </c>
      <c r="Q63">
        <v>8.0519288999999994E-2</v>
      </c>
      <c r="R63">
        <v>-5.6572730000000002E-2</v>
      </c>
      <c r="T63">
        <v>645</v>
      </c>
      <c r="U63">
        <v>0.32399862758025227</v>
      </c>
      <c r="V63">
        <v>5.0326524352321128E-2</v>
      </c>
      <c r="W63">
        <v>2.8629759413462443E-3</v>
      </c>
      <c r="X63">
        <f t="shared" si="0"/>
        <v>5.7259518826924885E-3</v>
      </c>
    </row>
    <row r="64" spans="4:24">
      <c r="D64" s="2">
        <v>5.6396099000000002E-4</v>
      </c>
      <c r="J64">
        <v>710</v>
      </c>
      <c r="K64">
        <f>BW7+BW6</f>
        <v>6.7318384120521532E-2</v>
      </c>
      <c r="O64" s="49">
        <v>650</v>
      </c>
      <c r="P64">
        <v>-1.2691463E-2</v>
      </c>
      <c r="Q64">
        <v>7.1790171999999999E-2</v>
      </c>
      <c r="R64">
        <v>-5.6540131E-2</v>
      </c>
      <c r="T64">
        <v>650</v>
      </c>
      <c r="U64">
        <v>0.33399813191430011</v>
      </c>
      <c r="V64">
        <v>4.9931187528483828E-2</v>
      </c>
      <c r="W64">
        <v>2.8404860152100634E-3</v>
      </c>
      <c r="X64">
        <f t="shared" si="0"/>
        <v>5.6809720304201268E-3</v>
      </c>
    </row>
    <row r="65" spans="4:24">
      <c r="D65" s="2">
        <v>7.8976011999999998E-4</v>
      </c>
      <c r="J65">
        <v>715</v>
      </c>
      <c r="K65">
        <f>BX7+BX6</f>
        <v>5.3102492960974343E-2</v>
      </c>
      <c r="O65" s="49">
        <v>655</v>
      </c>
      <c r="P65">
        <v>-1.0710592E-2</v>
      </c>
      <c r="Q65">
        <v>6.1101483999999998E-2</v>
      </c>
      <c r="R65">
        <v>-4.5942671999999997E-2</v>
      </c>
      <c r="T65">
        <v>655</v>
      </c>
      <c r="U65">
        <v>0.38884280581720881</v>
      </c>
      <c r="V65">
        <v>5.1712590920231387E-2</v>
      </c>
      <c r="W65">
        <v>2.9418265134471648E-3</v>
      </c>
      <c r="X65">
        <f t="shared" si="0"/>
        <v>5.8836530268943296E-3</v>
      </c>
    </row>
    <row r="66" spans="4:24">
      <c r="D66" s="2">
        <v>9.9492347000000006E-4</v>
      </c>
      <c r="O66" s="49">
        <v>660</v>
      </c>
      <c r="P66">
        <v>-1.0988665E-2</v>
      </c>
      <c r="Q66">
        <v>4.8118691999999998E-2</v>
      </c>
      <c r="R66">
        <v>-2.9537837000000001E-2</v>
      </c>
      <c r="T66">
        <v>660</v>
      </c>
      <c r="U66">
        <v>0.52492178012076374</v>
      </c>
      <c r="V66">
        <v>5.8432092953151354E-2</v>
      </c>
      <c r="W66">
        <v>3.3240856284100636E-3</v>
      </c>
      <c r="X66">
        <f t="shared" si="0"/>
        <v>6.6481712568201273E-3</v>
      </c>
    </row>
    <row r="67" spans="4:24">
      <c r="D67" s="2">
        <v>1.1385347000000001E-3</v>
      </c>
      <c r="O67" s="49">
        <v>665</v>
      </c>
      <c r="P67">
        <v>-1.1031315E-2</v>
      </c>
      <c r="Q67">
        <v>3.8911288000000002E-2</v>
      </c>
      <c r="R67">
        <v>2.0905660999999999E-2</v>
      </c>
      <c r="T67">
        <v>665</v>
      </c>
      <c r="U67">
        <v>0.72333321212870016</v>
      </c>
      <c r="V67">
        <v>6.0070704531100555E-2</v>
      </c>
      <c r="W67">
        <v>3.4173029841733493E-3</v>
      </c>
      <c r="X67">
        <f t="shared" si="0"/>
        <v>6.8346059683466985E-3</v>
      </c>
    </row>
    <row r="68" spans="4:24">
      <c r="D68">
        <v>1.3208868999999999E-3</v>
      </c>
      <c r="O68" s="49">
        <v>670</v>
      </c>
      <c r="P68">
        <v>-9.1578448999999999E-3</v>
      </c>
      <c r="Q68" s="2">
        <v>4.5235796000000002E-2</v>
      </c>
      <c r="R68">
        <v>7.8954015000000002E-2</v>
      </c>
      <c r="T68">
        <v>670</v>
      </c>
      <c r="U68">
        <v>0.89814625484099575</v>
      </c>
      <c r="V68">
        <v>6.0283162886640172E-2</v>
      </c>
      <c r="W68">
        <v>3.4293893177375278E-3</v>
      </c>
      <c r="X68">
        <f t="shared" si="0"/>
        <v>6.8587786354750557E-3</v>
      </c>
    </row>
    <row r="69" spans="4:24">
      <c r="D69">
        <v>2.3148099E-3</v>
      </c>
      <c r="O69" s="49">
        <v>675</v>
      </c>
      <c r="P69" s="2">
        <v>-5.0256863999999998E-3</v>
      </c>
      <c r="Q69">
        <v>3.4031586000000003E-2</v>
      </c>
      <c r="R69">
        <v>7.9045472000000006E-2</v>
      </c>
      <c r="T69">
        <v>675</v>
      </c>
      <c r="U69">
        <v>0.95378421479441289</v>
      </c>
      <c r="V69">
        <v>5.3667434416066813E-2</v>
      </c>
      <c r="W69">
        <v>3.0530336744760767E-3</v>
      </c>
      <c r="X69">
        <f t="shared" si="0"/>
        <v>6.1060673489521534E-3</v>
      </c>
    </row>
    <row r="70" spans="4:24">
      <c r="D70">
        <v>6.8099804000000003E-3</v>
      </c>
      <c r="O70" s="49">
        <v>680</v>
      </c>
      <c r="P70">
        <v>8.7480809999999996E-3</v>
      </c>
      <c r="Q70">
        <v>1.3302246E-2</v>
      </c>
      <c r="R70">
        <v>1.1136913999999999E-3</v>
      </c>
      <c r="T70">
        <v>680</v>
      </c>
      <c r="U70">
        <v>0.85512946280577262</v>
      </c>
      <c r="V70">
        <v>4.8095984114499009E-2</v>
      </c>
      <c r="W70">
        <v>2.7360849406408692E-3</v>
      </c>
      <c r="X70">
        <f t="shared" si="0"/>
        <v>5.4721698812817384E-3</v>
      </c>
    </row>
    <row r="71" spans="4:24">
      <c r="D71">
        <v>7.8231711999999995E-3</v>
      </c>
      <c r="O71" s="49">
        <v>685</v>
      </c>
      <c r="P71" s="2">
        <v>1.6238020999999998E-2</v>
      </c>
      <c r="Q71" s="2">
        <v>2.1455922999999999E-4</v>
      </c>
      <c r="R71">
        <v>-7.9199870000000006E-2</v>
      </c>
      <c r="T71">
        <v>685</v>
      </c>
      <c r="U71">
        <v>0.63315092269450857</v>
      </c>
      <c r="V71">
        <v>5.7313823824233584E-2</v>
      </c>
      <c r="W71">
        <v>3.2604695203389301E-3</v>
      </c>
      <c r="X71">
        <f t="shared" si="0"/>
        <v>6.5209390406778603E-3</v>
      </c>
    </row>
    <row r="72" spans="4:24">
      <c r="D72">
        <v>1.4395042E-2</v>
      </c>
      <c r="O72" s="49">
        <v>690</v>
      </c>
      <c r="P72">
        <v>9.2457660000000007E-3</v>
      </c>
      <c r="Q72">
        <v>-7.3001504000000002E-3</v>
      </c>
      <c r="R72">
        <v>-9.3832249000000006E-2</v>
      </c>
      <c r="T72">
        <v>690</v>
      </c>
      <c r="U72">
        <v>0.37931334782734843</v>
      </c>
      <c r="V72">
        <v>4.6644302220962823E-2</v>
      </c>
      <c r="W72">
        <v>2.653501643082186E-3</v>
      </c>
      <c r="X72">
        <f t="shared" si="0"/>
        <v>5.307003286164372E-3</v>
      </c>
    </row>
    <row r="73" spans="4:24">
      <c r="D73">
        <v>2.7313133999999999E-2</v>
      </c>
      <c r="O73" s="49">
        <v>695</v>
      </c>
      <c r="P73">
        <v>1.6616837E-3</v>
      </c>
      <c r="Q73">
        <v>-9.9528354000000003E-3</v>
      </c>
      <c r="R73">
        <v>-7.4921323999999997E-2</v>
      </c>
      <c r="T73">
        <v>695</v>
      </c>
      <c r="U73">
        <v>0.19435052855088034</v>
      </c>
      <c r="V73">
        <v>2.9846603091041143E-2</v>
      </c>
      <c r="W73">
        <v>1.6979139267069249E-3</v>
      </c>
      <c r="X73">
        <f t="shared" si="0"/>
        <v>3.3958278534138497E-3</v>
      </c>
    </row>
    <row r="74" spans="4:24">
      <c r="D74">
        <v>5.5060848000000003E-2</v>
      </c>
      <c r="E74">
        <f>SQRT(D74)</f>
        <v>0.23465048050238466</v>
      </c>
      <c r="O74" s="49">
        <v>700</v>
      </c>
      <c r="P74">
        <v>-4.8428504999999998E-3</v>
      </c>
      <c r="Q74">
        <v>-1.3499249E-2</v>
      </c>
      <c r="R74">
        <v>-5.5597868000000002E-2</v>
      </c>
      <c r="T74">
        <v>700</v>
      </c>
      <c r="U74">
        <v>9.5001862357735292E-2</v>
      </c>
      <c r="V74">
        <v>2.3481812564795021E-2</v>
      </c>
      <c r="W74">
        <v>1.3358336443337051E-3</v>
      </c>
      <c r="X74">
        <f t="shared" si="0"/>
        <v>2.6716672886674103E-3</v>
      </c>
    </row>
    <row r="75" spans="4:24">
      <c r="D75">
        <v>0.10648436999999999</v>
      </c>
      <c r="E75">
        <f>SQRT(D75)</f>
        <v>0.32631942939396053</v>
      </c>
      <c r="O75" s="49">
        <v>705</v>
      </c>
      <c r="P75">
        <v>-6.1348135999999996E-3</v>
      </c>
      <c r="Q75">
        <v>-1.1630138E-2</v>
      </c>
      <c r="R75">
        <v>-3.9930752999999999E-2</v>
      </c>
      <c r="T75">
        <v>705</v>
      </c>
      <c r="U75">
        <v>4.4357527047339924E-2</v>
      </c>
      <c r="V75">
        <v>1.8942786842004716E-2</v>
      </c>
      <c r="W75">
        <v>1.0776174927368775E-3</v>
      </c>
      <c r="X75">
        <f t="shared" si="0"/>
        <v>2.1552349854737549E-3</v>
      </c>
    </row>
    <row r="76" spans="4:24">
      <c r="D76">
        <v>1.1083939</v>
      </c>
      <c r="E76">
        <f>SQRT(D76)</f>
        <v>1.0528028780355798</v>
      </c>
      <c r="O76" s="49">
        <v>710</v>
      </c>
      <c r="P76">
        <v>-2.8029239E-3</v>
      </c>
      <c r="Q76">
        <v>-5.2332142E-3</v>
      </c>
      <c r="R76">
        <v>-1.8663724999999999E-2</v>
      </c>
      <c r="T76">
        <v>710</v>
      </c>
      <c r="U76">
        <v>1.5917060681989555E-2</v>
      </c>
      <c r="V76">
        <v>1.4201643216532393E-2</v>
      </c>
      <c r="W76">
        <v>8.0790325538624417E-4</v>
      </c>
      <c r="X76">
        <f t="shared" si="0"/>
        <v>1.6158065107724883E-3</v>
      </c>
    </row>
  </sheetData>
  <phoneticPr fontId="9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65"/>
  <sheetViews>
    <sheetView workbookViewId="0">
      <selection activeCell="M2" sqref="M2"/>
    </sheetView>
  </sheetViews>
  <sheetFormatPr defaultRowHeight="12.75"/>
  <cols>
    <col min="8" max="8" width="12.42578125" bestFit="1" customWidth="1"/>
    <col min="9" max="10" width="9.28515625" bestFit="1" customWidth="1"/>
  </cols>
  <sheetData>
    <row r="1" spans="1:13">
      <c r="A1" t="s">
        <v>50</v>
      </c>
      <c r="B1" t="s">
        <v>152</v>
      </c>
      <c r="C1" t="s">
        <v>153</v>
      </c>
      <c r="D1" t="s">
        <v>155</v>
      </c>
      <c r="F1" t="s">
        <v>157</v>
      </c>
      <c r="I1" t="s">
        <v>158</v>
      </c>
    </row>
    <row r="2" spans="1:13">
      <c r="A2">
        <f t="array" ref="A2:A65">Lambda</f>
        <v>400</v>
      </c>
      <c r="B2">
        <f>1+0.00165*(530-A2)</f>
        <v>1.2144999999999999</v>
      </c>
      <c r="C2">
        <f t="shared" ref="C2:C33" si="0">$H$2+$F$2*(A2-530)^2+$G$2*(A2-530)</f>
        <v>0.83764834372668884</v>
      </c>
      <c r="D2">
        <f t="shared" ref="D2:D33" si="1">Flin*B2+(1-Flin)*C2</f>
        <v>1.0260741718633444</v>
      </c>
      <c r="F2">
        <f t="array" ref="F2:H5">LINEST(M2:M6,J2:K6,1,1)</f>
        <v>-1.155795946696779E-5</v>
      </c>
      <c r="G2">
        <v>-1.9258046376262171E-4</v>
      </c>
      <c r="H2">
        <v>1.0079423984293037</v>
      </c>
      <c r="I2">
        <v>400</v>
      </c>
      <c r="J2">
        <f>I2-530</f>
        <v>-130</v>
      </c>
      <c r="K2">
        <f>J2^2</f>
        <v>16900</v>
      </c>
      <c r="L2">
        <v>4.4999999999999998E-2</v>
      </c>
      <c r="M2">
        <f>L2/$L$4</f>
        <v>0.81818181818181812</v>
      </c>
    </row>
    <row r="3" spans="1:13">
      <c r="A3">
        <v>405</v>
      </c>
      <c r="B3">
        <f t="shared" ref="B3:B65" si="2">1+0.00165*(530-A3)</f>
        <v>1.20625</v>
      </c>
      <c r="C3">
        <f t="shared" si="0"/>
        <v>0.85142183972825969</v>
      </c>
      <c r="D3">
        <f t="shared" si="1"/>
        <v>1.0288359198641299</v>
      </c>
      <c r="F3">
        <v>1.6802665279102852E-6</v>
      </c>
      <c r="G3">
        <v>1.4434150230117437E-4</v>
      </c>
      <c r="H3">
        <v>2.558510160410819E-2</v>
      </c>
      <c r="I3">
        <v>450</v>
      </c>
      <c r="J3">
        <f>I3-530</f>
        <v>-80</v>
      </c>
      <c r="K3">
        <f>J3^2</f>
        <v>6400</v>
      </c>
      <c r="L3">
        <v>5.3999999999999999E-2</v>
      </c>
      <c r="M3">
        <f>L3/$L$4</f>
        <v>0.98181818181818181</v>
      </c>
    </row>
    <row r="4" spans="1:13">
      <c r="A4">
        <v>410</v>
      </c>
      <c r="B4">
        <f t="shared" si="2"/>
        <v>1.198</v>
      </c>
      <c r="C4">
        <f t="shared" si="0"/>
        <v>0.86461743775648203</v>
      </c>
      <c r="D4">
        <f t="shared" si="1"/>
        <v>1.031308718878241</v>
      </c>
      <c r="F4">
        <v>0.97534452242769576</v>
      </c>
      <c r="G4">
        <v>3.1714042213632249E-2</v>
      </c>
      <c r="H4" t="e">
        <v>#N/A</v>
      </c>
      <c r="I4">
        <v>530</v>
      </c>
      <c r="J4">
        <f>I4-530</f>
        <v>0</v>
      </c>
      <c r="K4">
        <f>J4^2</f>
        <v>0</v>
      </c>
      <c r="L4">
        <v>5.5E-2</v>
      </c>
      <c r="M4">
        <f>L4/$L$4</f>
        <v>1</v>
      </c>
    </row>
    <row r="5" spans="1:13">
      <c r="A5">
        <v>415</v>
      </c>
      <c r="B5">
        <f t="shared" si="2"/>
        <v>1.1897500000000001</v>
      </c>
      <c r="C5">
        <f t="shared" si="0"/>
        <v>0.87723513781135609</v>
      </c>
      <c r="D5">
        <f t="shared" si="1"/>
        <v>1.033492568905678</v>
      </c>
      <c r="F5">
        <v>39.558938559085547</v>
      </c>
      <c r="G5">
        <v>2</v>
      </c>
      <c r="H5" t="e">
        <v>#N/A</v>
      </c>
      <c r="I5">
        <v>650</v>
      </c>
      <c r="J5">
        <f>I5-530</f>
        <v>120</v>
      </c>
      <c r="K5">
        <f>J5^2</f>
        <v>14400</v>
      </c>
      <c r="L5">
        <v>4.3999999999999997E-2</v>
      </c>
      <c r="M5">
        <f>L5/$L$4</f>
        <v>0.79999999999999993</v>
      </c>
    </row>
    <row r="6" spans="1:13">
      <c r="A6">
        <v>420</v>
      </c>
      <c r="B6">
        <f t="shared" si="2"/>
        <v>1.1815</v>
      </c>
      <c r="C6">
        <f t="shared" si="0"/>
        <v>0.88927493989288187</v>
      </c>
      <c r="D6">
        <f t="shared" si="1"/>
        <v>1.0353874699464409</v>
      </c>
      <c r="I6">
        <v>700</v>
      </c>
      <c r="J6">
        <f>I6-530</f>
        <v>170</v>
      </c>
      <c r="K6">
        <f>J6^2</f>
        <v>28900</v>
      </c>
      <c r="L6">
        <v>3.5999999999999997E-2</v>
      </c>
      <c r="M6">
        <f>L6/$L$4</f>
        <v>0.65454545454545454</v>
      </c>
    </row>
    <row r="7" spans="1:13">
      <c r="A7">
        <v>425</v>
      </c>
      <c r="B7">
        <f t="shared" si="2"/>
        <v>1.1732499999999999</v>
      </c>
      <c r="C7">
        <f t="shared" si="0"/>
        <v>0.90073684400105902</v>
      </c>
      <c r="D7">
        <f t="shared" si="1"/>
        <v>1.0369934220005295</v>
      </c>
    </row>
    <row r="8" spans="1:13">
      <c r="A8">
        <v>430</v>
      </c>
      <c r="B8">
        <f t="shared" si="2"/>
        <v>1.165</v>
      </c>
      <c r="C8">
        <f t="shared" si="0"/>
        <v>0.91162085013588789</v>
      </c>
      <c r="D8">
        <f t="shared" si="1"/>
        <v>1.038310425067944</v>
      </c>
    </row>
    <row r="9" spans="1:13">
      <c r="A9">
        <v>435</v>
      </c>
      <c r="B9">
        <f t="shared" si="2"/>
        <v>1.1567499999999999</v>
      </c>
      <c r="C9">
        <f t="shared" si="0"/>
        <v>0.92192695829736837</v>
      </c>
      <c r="D9">
        <f t="shared" si="1"/>
        <v>1.0393384791486842</v>
      </c>
    </row>
    <row r="10" spans="1:13">
      <c r="A10">
        <v>440</v>
      </c>
      <c r="B10">
        <f t="shared" si="2"/>
        <v>1.1485000000000001</v>
      </c>
      <c r="C10">
        <f t="shared" si="0"/>
        <v>0.93165516848550045</v>
      </c>
      <c r="D10">
        <f t="shared" si="1"/>
        <v>1.0400775842427503</v>
      </c>
    </row>
    <row r="11" spans="1:13">
      <c r="A11">
        <v>445</v>
      </c>
      <c r="B11">
        <f t="shared" si="2"/>
        <v>1.14025</v>
      </c>
      <c r="C11">
        <f t="shared" si="0"/>
        <v>0.94080548070028425</v>
      </c>
      <c r="D11">
        <f t="shared" si="1"/>
        <v>1.0405277403501421</v>
      </c>
    </row>
    <row r="12" spans="1:13">
      <c r="A12">
        <v>450</v>
      </c>
      <c r="B12">
        <f t="shared" si="2"/>
        <v>1.1320000000000001</v>
      </c>
      <c r="C12">
        <f t="shared" si="0"/>
        <v>0.94937789494171954</v>
      </c>
      <c r="D12">
        <f t="shared" si="1"/>
        <v>1.0406889474708598</v>
      </c>
    </row>
    <row r="13" spans="1:13">
      <c r="A13">
        <v>455</v>
      </c>
      <c r="B13">
        <f t="shared" si="2"/>
        <v>1.12375</v>
      </c>
      <c r="C13">
        <f t="shared" si="0"/>
        <v>0.95737241120980643</v>
      </c>
      <c r="D13">
        <f t="shared" si="1"/>
        <v>1.0405612056049032</v>
      </c>
    </row>
    <row r="14" spans="1:13">
      <c r="A14">
        <v>460</v>
      </c>
      <c r="B14">
        <f t="shared" si="2"/>
        <v>1.1154999999999999</v>
      </c>
      <c r="C14">
        <f t="shared" si="0"/>
        <v>0.96478902950454504</v>
      </c>
      <c r="D14">
        <f t="shared" si="1"/>
        <v>1.0401445147522725</v>
      </c>
    </row>
    <row r="15" spans="1:13">
      <c r="A15">
        <v>465</v>
      </c>
      <c r="B15">
        <f t="shared" si="2"/>
        <v>1.1072500000000001</v>
      </c>
      <c r="C15">
        <f t="shared" si="0"/>
        <v>0.97162774982593514</v>
      </c>
      <c r="D15">
        <f t="shared" si="1"/>
        <v>1.0394388749129675</v>
      </c>
    </row>
    <row r="16" spans="1:13">
      <c r="A16">
        <v>470</v>
      </c>
      <c r="B16">
        <f t="shared" si="2"/>
        <v>1.099</v>
      </c>
      <c r="C16">
        <f t="shared" si="0"/>
        <v>0.97788857217397696</v>
      </c>
      <c r="D16">
        <f t="shared" si="1"/>
        <v>1.0384442860869885</v>
      </c>
    </row>
    <row r="17" spans="1:4">
      <c r="A17">
        <v>475</v>
      </c>
      <c r="B17">
        <f t="shared" si="2"/>
        <v>1.0907499999999999</v>
      </c>
      <c r="C17">
        <f t="shared" si="0"/>
        <v>0.98357149654867027</v>
      </c>
      <c r="D17">
        <f t="shared" si="1"/>
        <v>1.037160748274335</v>
      </c>
    </row>
    <row r="18" spans="1:4">
      <c r="A18">
        <v>480</v>
      </c>
      <c r="B18">
        <f t="shared" si="2"/>
        <v>1.0825</v>
      </c>
      <c r="C18">
        <f t="shared" si="0"/>
        <v>0.98867652295001529</v>
      </c>
      <c r="D18">
        <f t="shared" si="1"/>
        <v>1.0355882614750076</v>
      </c>
    </row>
    <row r="19" spans="1:4">
      <c r="A19">
        <v>485</v>
      </c>
      <c r="B19">
        <f t="shared" si="2"/>
        <v>1.0742499999999999</v>
      </c>
      <c r="C19">
        <f t="shared" si="0"/>
        <v>0.99320365137801181</v>
      </c>
      <c r="D19">
        <f t="shared" si="1"/>
        <v>1.0337268256890058</v>
      </c>
    </row>
    <row r="20" spans="1:4">
      <c r="A20">
        <v>490</v>
      </c>
      <c r="B20">
        <f t="shared" si="2"/>
        <v>1.0660000000000001</v>
      </c>
      <c r="C20">
        <f t="shared" si="0"/>
        <v>0.99715288183266004</v>
      </c>
      <c r="D20">
        <f t="shared" si="1"/>
        <v>1.0315764409163299</v>
      </c>
    </row>
    <row r="21" spans="1:4">
      <c r="A21">
        <v>495</v>
      </c>
      <c r="B21">
        <f t="shared" si="2"/>
        <v>1.05775</v>
      </c>
      <c r="C21">
        <f t="shared" si="0"/>
        <v>1.0005242143139599</v>
      </c>
      <c r="D21">
        <f t="shared" si="1"/>
        <v>1.0291371071569799</v>
      </c>
    </row>
    <row r="22" spans="1:4">
      <c r="A22">
        <v>500</v>
      </c>
      <c r="B22">
        <f t="shared" si="2"/>
        <v>1.0495000000000001</v>
      </c>
      <c r="C22">
        <f t="shared" si="0"/>
        <v>1.0033176488219113</v>
      </c>
      <c r="D22">
        <f t="shared" si="1"/>
        <v>1.0264088244109557</v>
      </c>
    </row>
    <row r="23" spans="1:4">
      <c r="A23">
        <v>505</v>
      </c>
      <c r="B23">
        <f t="shared" si="2"/>
        <v>1.04125</v>
      </c>
      <c r="C23">
        <f t="shared" si="0"/>
        <v>1.0055331853565144</v>
      </c>
      <c r="D23">
        <f t="shared" si="1"/>
        <v>1.0233915926782573</v>
      </c>
    </row>
    <row r="24" spans="1:4">
      <c r="A24">
        <v>510</v>
      </c>
      <c r="B24">
        <f t="shared" si="2"/>
        <v>1.0329999999999999</v>
      </c>
      <c r="C24">
        <f t="shared" si="0"/>
        <v>1.007170823917769</v>
      </c>
      <c r="D24">
        <f t="shared" si="1"/>
        <v>1.0200854119588845</v>
      </c>
    </row>
    <row r="25" spans="1:4">
      <c r="A25">
        <v>515</v>
      </c>
      <c r="B25">
        <f t="shared" si="2"/>
        <v>1.02475</v>
      </c>
      <c r="C25">
        <f t="shared" si="0"/>
        <v>1.0082305645056753</v>
      </c>
      <c r="D25">
        <f t="shared" si="1"/>
        <v>1.0164902822528377</v>
      </c>
    </row>
    <row r="26" spans="1:4">
      <c r="A26">
        <v>520</v>
      </c>
      <c r="B26">
        <f t="shared" si="2"/>
        <v>1.0165</v>
      </c>
      <c r="C26">
        <f t="shared" si="0"/>
        <v>1.0087124071202331</v>
      </c>
      <c r="D26">
        <f t="shared" si="1"/>
        <v>1.0126062035601167</v>
      </c>
    </row>
    <row r="27" spans="1:4">
      <c r="A27">
        <v>525</v>
      </c>
      <c r="B27">
        <f t="shared" si="2"/>
        <v>1.0082500000000001</v>
      </c>
      <c r="C27">
        <f t="shared" si="0"/>
        <v>1.0086163517614426</v>
      </c>
      <c r="D27">
        <f t="shared" si="1"/>
        <v>1.0084331758807212</v>
      </c>
    </row>
    <row r="28" spans="1:4">
      <c r="A28">
        <v>530</v>
      </c>
      <c r="B28">
        <f t="shared" si="2"/>
        <v>1</v>
      </c>
      <c r="C28">
        <f t="shared" si="0"/>
        <v>1.0079423984293037</v>
      </c>
      <c r="D28">
        <f t="shared" si="1"/>
        <v>1.0039711992146518</v>
      </c>
    </row>
    <row r="29" spans="1:4">
      <c r="A29">
        <v>535</v>
      </c>
      <c r="B29">
        <f t="shared" si="2"/>
        <v>0.99175000000000002</v>
      </c>
      <c r="C29">
        <f t="shared" si="0"/>
        <v>1.0066905471238163</v>
      </c>
      <c r="D29">
        <f t="shared" si="1"/>
        <v>0.99922027356190823</v>
      </c>
    </row>
    <row r="30" spans="1:4">
      <c r="A30">
        <v>540</v>
      </c>
      <c r="B30">
        <f t="shared" si="2"/>
        <v>0.98350000000000004</v>
      </c>
      <c r="C30">
        <f t="shared" si="0"/>
        <v>1.0048607978449806</v>
      </c>
      <c r="D30">
        <f t="shared" si="1"/>
        <v>0.99418039892249033</v>
      </c>
    </row>
    <row r="31" spans="1:4">
      <c r="A31">
        <v>545</v>
      </c>
      <c r="B31">
        <f t="shared" si="2"/>
        <v>0.97524999999999995</v>
      </c>
      <c r="C31">
        <f t="shared" si="0"/>
        <v>1.0024531505927965</v>
      </c>
      <c r="D31">
        <f t="shared" si="1"/>
        <v>0.98885157529639822</v>
      </c>
    </row>
    <row r="32" spans="1:4">
      <c r="A32">
        <v>550</v>
      </c>
      <c r="B32">
        <f t="shared" si="2"/>
        <v>0.96699999999999997</v>
      </c>
      <c r="C32">
        <f t="shared" si="0"/>
        <v>0.99946760536726409</v>
      </c>
      <c r="D32">
        <f t="shared" si="1"/>
        <v>0.98323380268363203</v>
      </c>
    </row>
    <row r="33" spans="1:4">
      <c r="A33">
        <v>555</v>
      </c>
      <c r="B33">
        <f t="shared" si="2"/>
        <v>0.95874999999999999</v>
      </c>
      <c r="C33">
        <f t="shared" si="0"/>
        <v>0.99590416216838318</v>
      </c>
      <c r="D33">
        <f t="shared" si="1"/>
        <v>0.97732708108419164</v>
      </c>
    </row>
    <row r="34" spans="1:4">
      <c r="A34">
        <v>560</v>
      </c>
      <c r="B34">
        <f t="shared" si="2"/>
        <v>0.95050000000000001</v>
      </c>
      <c r="C34">
        <f t="shared" ref="C34:C65" si="3">$H$2+$F$2*(A34-530)^2+$G$2*(A34-530)</f>
        <v>0.99176282099615398</v>
      </c>
      <c r="D34">
        <f t="shared" ref="D34:D65" si="4">Flin*B34+(1-Flin)*C34</f>
        <v>0.97113141049807705</v>
      </c>
    </row>
    <row r="35" spans="1:4">
      <c r="A35">
        <v>565</v>
      </c>
      <c r="B35">
        <f t="shared" si="2"/>
        <v>0.94225000000000003</v>
      </c>
      <c r="C35">
        <f t="shared" si="3"/>
        <v>0.98704358185057628</v>
      </c>
      <c r="D35">
        <f t="shared" si="4"/>
        <v>0.96464679092528816</v>
      </c>
    </row>
    <row r="36" spans="1:4">
      <c r="A36">
        <v>570</v>
      </c>
      <c r="B36">
        <f t="shared" si="2"/>
        <v>0.93399999999999994</v>
      </c>
      <c r="C36">
        <f t="shared" si="3"/>
        <v>0.9817464447316504</v>
      </c>
      <c r="D36">
        <f t="shared" si="4"/>
        <v>0.95787322236582517</v>
      </c>
    </row>
    <row r="37" spans="1:4">
      <c r="A37">
        <v>575</v>
      </c>
      <c r="B37">
        <f t="shared" si="2"/>
        <v>0.92574999999999996</v>
      </c>
      <c r="C37">
        <f t="shared" si="3"/>
        <v>0.97587140963937591</v>
      </c>
      <c r="D37">
        <f t="shared" si="4"/>
        <v>0.95081070481968788</v>
      </c>
    </row>
    <row r="38" spans="1:4">
      <c r="A38">
        <v>580</v>
      </c>
      <c r="B38">
        <f t="shared" si="2"/>
        <v>0.91749999999999998</v>
      </c>
      <c r="C38">
        <f t="shared" si="3"/>
        <v>0.96941847657375313</v>
      </c>
      <c r="D38">
        <f t="shared" si="4"/>
        <v>0.9434592382868765</v>
      </c>
    </row>
    <row r="39" spans="1:4">
      <c r="A39">
        <v>585</v>
      </c>
      <c r="B39">
        <f t="shared" si="2"/>
        <v>0.90925</v>
      </c>
      <c r="C39">
        <f t="shared" si="3"/>
        <v>0.96238764553478184</v>
      </c>
      <c r="D39">
        <f t="shared" si="4"/>
        <v>0.93581882276739092</v>
      </c>
    </row>
    <row r="40" spans="1:4">
      <c r="A40">
        <v>590</v>
      </c>
      <c r="B40">
        <f t="shared" si="2"/>
        <v>0.90100000000000002</v>
      </c>
      <c r="C40">
        <f t="shared" si="3"/>
        <v>0.95477891652246227</v>
      </c>
      <c r="D40">
        <f t="shared" si="4"/>
        <v>0.92788945826123115</v>
      </c>
    </row>
    <row r="41" spans="1:4">
      <c r="A41">
        <v>595</v>
      </c>
      <c r="B41">
        <f t="shared" si="2"/>
        <v>0.89275000000000004</v>
      </c>
      <c r="C41">
        <f t="shared" si="3"/>
        <v>0.94659228953679442</v>
      </c>
      <c r="D41">
        <f t="shared" si="4"/>
        <v>0.91967114476839718</v>
      </c>
    </row>
    <row r="42" spans="1:4">
      <c r="A42">
        <v>600</v>
      </c>
      <c r="B42">
        <f t="shared" si="2"/>
        <v>0.88449999999999995</v>
      </c>
      <c r="C42">
        <f t="shared" si="3"/>
        <v>0.93782776457777806</v>
      </c>
      <c r="D42">
        <f t="shared" si="4"/>
        <v>0.911163882288889</v>
      </c>
    </row>
    <row r="43" spans="1:4">
      <c r="A43">
        <v>605</v>
      </c>
      <c r="B43">
        <f t="shared" si="2"/>
        <v>0.87624999999999997</v>
      </c>
      <c r="C43">
        <f t="shared" si="3"/>
        <v>0.92848534164541319</v>
      </c>
      <c r="D43">
        <f t="shared" si="4"/>
        <v>0.90236767082270664</v>
      </c>
    </row>
    <row r="44" spans="1:4">
      <c r="A44">
        <v>610</v>
      </c>
      <c r="B44">
        <f t="shared" si="2"/>
        <v>0.86799999999999999</v>
      </c>
      <c r="C44">
        <f t="shared" si="3"/>
        <v>0.91856502073970003</v>
      </c>
      <c r="D44">
        <f t="shared" si="4"/>
        <v>0.89328251036985007</v>
      </c>
    </row>
    <row r="45" spans="1:4">
      <c r="A45">
        <v>615</v>
      </c>
      <c r="B45">
        <f t="shared" si="2"/>
        <v>0.85975000000000001</v>
      </c>
      <c r="C45">
        <f t="shared" si="3"/>
        <v>0.90806680186063848</v>
      </c>
      <c r="D45">
        <f t="shared" si="4"/>
        <v>0.8839084009303193</v>
      </c>
    </row>
    <row r="46" spans="1:4">
      <c r="A46">
        <v>620</v>
      </c>
      <c r="B46">
        <f t="shared" si="2"/>
        <v>0.85150000000000003</v>
      </c>
      <c r="C46">
        <f t="shared" si="3"/>
        <v>0.89699068500822865</v>
      </c>
      <c r="D46">
        <f t="shared" si="4"/>
        <v>0.87424534250411434</v>
      </c>
    </row>
    <row r="47" spans="1:4">
      <c r="A47">
        <v>625</v>
      </c>
      <c r="B47">
        <f t="shared" si="2"/>
        <v>0.84325000000000006</v>
      </c>
      <c r="C47">
        <f t="shared" si="3"/>
        <v>0.88533667018247031</v>
      </c>
      <c r="D47">
        <f t="shared" si="4"/>
        <v>0.86429333509123518</v>
      </c>
    </row>
    <row r="48" spans="1:4">
      <c r="A48">
        <v>630</v>
      </c>
      <c r="B48">
        <f t="shared" si="2"/>
        <v>0.83499999999999996</v>
      </c>
      <c r="C48">
        <f t="shared" si="3"/>
        <v>0.87310475738336357</v>
      </c>
      <c r="D48">
        <f t="shared" si="4"/>
        <v>0.85405237869168182</v>
      </c>
    </row>
    <row r="49" spans="1:4">
      <c r="A49">
        <v>635</v>
      </c>
      <c r="B49">
        <f t="shared" si="2"/>
        <v>0.82674999999999998</v>
      </c>
      <c r="C49">
        <f t="shared" si="3"/>
        <v>0.86029494661090844</v>
      </c>
      <c r="D49">
        <f t="shared" si="4"/>
        <v>0.84352247330545427</v>
      </c>
    </row>
    <row r="50" spans="1:4">
      <c r="A50">
        <v>640</v>
      </c>
      <c r="B50">
        <f t="shared" si="2"/>
        <v>0.81850000000000001</v>
      </c>
      <c r="C50">
        <f t="shared" si="3"/>
        <v>0.84690723786510502</v>
      </c>
      <c r="D50">
        <f t="shared" si="4"/>
        <v>0.83270361893255251</v>
      </c>
    </row>
    <row r="51" spans="1:4">
      <c r="A51">
        <v>645</v>
      </c>
      <c r="B51">
        <f t="shared" si="2"/>
        <v>0.81025000000000003</v>
      </c>
      <c r="C51">
        <f t="shared" si="3"/>
        <v>0.83294163114595321</v>
      </c>
      <c r="D51">
        <f t="shared" si="4"/>
        <v>0.82159581557297656</v>
      </c>
    </row>
    <row r="52" spans="1:4">
      <c r="A52">
        <v>650</v>
      </c>
      <c r="B52">
        <f t="shared" si="2"/>
        <v>0.80200000000000005</v>
      </c>
      <c r="C52">
        <f t="shared" si="3"/>
        <v>0.81839812645345289</v>
      </c>
      <c r="D52">
        <f t="shared" si="4"/>
        <v>0.81019906322672641</v>
      </c>
    </row>
    <row r="53" spans="1:4">
      <c r="A53">
        <v>655</v>
      </c>
      <c r="B53">
        <f t="shared" si="2"/>
        <v>0.79374999999999996</v>
      </c>
      <c r="C53">
        <f t="shared" si="3"/>
        <v>0.80327672378760429</v>
      </c>
      <c r="D53">
        <f t="shared" si="4"/>
        <v>0.79851336189380206</v>
      </c>
    </row>
    <row r="54" spans="1:4">
      <c r="A54">
        <v>660</v>
      </c>
      <c r="B54">
        <f t="shared" si="2"/>
        <v>0.78549999999999998</v>
      </c>
      <c r="C54">
        <f t="shared" si="3"/>
        <v>0.78757742314840717</v>
      </c>
      <c r="D54">
        <f t="shared" si="4"/>
        <v>0.78653871157420352</v>
      </c>
    </row>
    <row r="55" spans="1:4">
      <c r="A55">
        <v>665</v>
      </c>
      <c r="B55">
        <f t="shared" si="2"/>
        <v>0.77725</v>
      </c>
      <c r="C55">
        <f t="shared" si="3"/>
        <v>0.77130022453586178</v>
      </c>
      <c r="D55">
        <f t="shared" si="4"/>
        <v>0.77427511226793089</v>
      </c>
    </row>
    <row r="56" spans="1:4">
      <c r="A56">
        <v>670</v>
      </c>
      <c r="B56">
        <f t="shared" si="2"/>
        <v>0.76900000000000002</v>
      </c>
      <c r="C56">
        <f t="shared" si="3"/>
        <v>0.75444512794996788</v>
      </c>
      <c r="D56">
        <f t="shared" si="4"/>
        <v>0.76172256397498395</v>
      </c>
    </row>
    <row r="57" spans="1:4">
      <c r="A57">
        <v>675</v>
      </c>
      <c r="B57">
        <f t="shared" si="2"/>
        <v>0.76075000000000004</v>
      </c>
      <c r="C57">
        <f t="shared" si="3"/>
        <v>0.7370121333907258</v>
      </c>
      <c r="D57">
        <f t="shared" si="4"/>
        <v>0.74888106669536292</v>
      </c>
    </row>
    <row r="58" spans="1:4">
      <c r="A58">
        <v>680</v>
      </c>
      <c r="B58">
        <f t="shared" si="2"/>
        <v>0.75249999999999995</v>
      </c>
      <c r="C58">
        <f t="shared" si="3"/>
        <v>0.71900124085813522</v>
      </c>
      <c r="D58">
        <f t="shared" si="4"/>
        <v>0.73575062042906758</v>
      </c>
    </row>
    <row r="59" spans="1:4">
      <c r="A59">
        <v>685</v>
      </c>
      <c r="B59">
        <f t="shared" si="2"/>
        <v>0.74425000000000008</v>
      </c>
      <c r="C59">
        <f t="shared" si="3"/>
        <v>0.70041245035219613</v>
      </c>
      <c r="D59">
        <f t="shared" si="4"/>
        <v>0.72233122517609805</v>
      </c>
    </row>
    <row r="60" spans="1:4">
      <c r="A60">
        <v>690</v>
      </c>
      <c r="B60">
        <f t="shared" si="2"/>
        <v>0.73599999999999999</v>
      </c>
      <c r="C60">
        <f t="shared" si="3"/>
        <v>0.68124576187290875</v>
      </c>
      <c r="D60">
        <f t="shared" si="4"/>
        <v>0.70862288093645431</v>
      </c>
    </row>
    <row r="61" spans="1:4">
      <c r="A61">
        <v>695</v>
      </c>
      <c r="B61">
        <f t="shared" si="2"/>
        <v>0.72775000000000001</v>
      </c>
      <c r="C61">
        <f t="shared" si="3"/>
        <v>0.66150117542027298</v>
      </c>
      <c r="D61">
        <f t="shared" si="4"/>
        <v>0.69462558771013649</v>
      </c>
    </row>
    <row r="62" spans="1:4">
      <c r="A62">
        <v>700</v>
      </c>
      <c r="B62">
        <f t="shared" si="2"/>
        <v>0.71950000000000003</v>
      </c>
      <c r="C62">
        <f t="shared" si="3"/>
        <v>0.64117869099428881</v>
      </c>
      <c r="D62">
        <f t="shared" si="4"/>
        <v>0.68033934549714448</v>
      </c>
    </row>
    <row r="63" spans="1:4">
      <c r="A63">
        <v>705</v>
      </c>
      <c r="B63">
        <f t="shared" si="2"/>
        <v>0.71124999999999994</v>
      </c>
      <c r="C63">
        <f t="shared" si="3"/>
        <v>0.62027830859495625</v>
      </c>
      <c r="D63">
        <f t="shared" si="4"/>
        <v>0.66576415429747815</v>
      </c>
    </row>
    <row r="64" spans="1:4">
      <c r="A64">
        <v>710</v>
      </c>
      <c r="B64">
        <f t="shared" si="2"/>
        <v>0.70300000000000007</v>
      </c>
      <c r="C64">
        <f t="shared" si="3"/>
        <v>0.59880002822227529</v>
      </c>
      <c r="D64">
        <f t="shared" si="4"/>
        <v>0.65090001411113763</v>
      </c>
    </row>
    <row r="65" spans="1:4">
      <c r="A65">
        <v>715</v>
      </c>
      <c r="B65">
        <f t="shared" si="2"/>
        <v>0.69474999999999998</v>
      </c>
      <c r="C65">
        <f t="shared" si="3"/>
        <v>0.57674384987624594</v>
      </c>
      <c r="D65">
        <f t="shared" si="4"/>
        <v>0.6357469249381229</v>
      </c>
    </row>
  </sheetData>
  <phoneticPr fontId="9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54</vt:i4>
      </vt:variant>
    </vt:vector>
  </HeadingPairs>
  <TitlesOfParts>
    <vt:vector size="64" baseType="lpstr">
      <vt:lpstr>Output</vt:lpstr>
      <vt:lpstr>Batch data</vt:lpstr>
      <vt:lpstr>WQ Input</vt:lpstr>
      <vt:lpstr>Parameters</vt:lpstr>
      <vt:lpstr>Graphs</vt:lpstr>
      <vt:lpstr>Spectra</vt:lpstr>
      <vt:lpstr>Sun</vt:lpstr>
      <vt:lpstr>bnorm</vt:lpstr>
      <vt:lpstr>Phi calc</vt:lpstr>
      <vt:lpstr>bbpnorm</vt:lpstr>
      <vt:lpstr>acdom</vt:lpstr>
      <vt:lpstr>adetr</vt:lpstr>
      <vt:lpstr>alpha</vt:lpstr>
      <vt:lpstr>apexp</vt:lpstr>
      <vt:lpstr>aphyto</vt:lpstr>
      <vt:lpstr>astarmin440</vt:lpstr>
      <vt:lpstr>astarminlw</vt:lpstr>
      <vt:lpstr>atotal</vt:lpstr>
      <vt:lpstr>aw</vt:lpstr>
      <vt:lpstr>bb2b</vt:lpstr>
      <vt:lpstr>BBnorm</vt:lpstr>
      <vt:lpstr>bbp</vt:lpstr>
      <vt:lpstr>bpexp</vt:lpstr>
      <vt:lpstr>bphin</vt:lpstr>
      <vt:lpstr>bpstar555</vt:lpstr>
      <vt:lpstr>btotal</vt:lpstr>
      <vt:lpstr>bw</vt:lpstr>
      <vt:lpstr>CDOM440</vt:lpstr>
      <vt:lpstr>CHLA</vt:lpstr>
      <vt:lpstr>chlexp</vt:lpstr>
      <vt:lpstr>cphistar</vt:lpstr>
      <vt:lpstr>Day</vt:lpstr>
      <vt:lpstr>DecTime</vt:lpstr>
      <vt:lpstr>E0</vt:lpstr>
      <vt:lpstr>E0PAR</vt:lpstr>
      <vt:lpstr>EPARz</vt:lpstr>
      <vt:lpstr>eta</vt:lpstr>
      <vt:lpstr>Flin</vt:lpstr>
      <vt:lpstr>gamma</vt:lpstr>
      <vt:lpstr>Kd</vt:lpstr>
      <vt:lpstr>KdPAR</vt:lpstr>
      <vt:lpstr>KdSD</vt:lpstr>
      <vt:lpstr>Lambda</vt:lpstr>
      <vt:lpstr>Latitude</vt:lpstr>
      <vt:lpstr>Lee_g0</vt:lpstr>
      <vt:lpstr>Lee_g1</vt:lpstr>
      <vt:lpstr>Longitude</vt:lpstr>
      <vt:lpstr>Mon</vt:lpstr>
      <vt:lpstr>mu0</vt:lpstr>
      <vt:lpstr>Phi_PC1</vt:lpstr>
      <vt:lpstr>Phi_PC2</vt:lpstr>
      <vt:lpstr>Phi_PC3</vt:lpstr>
      <vt:lpstr>Phinorm</vt:lpstr>
      <vt:lpstr>phistar676</vt:lpstr>
      <vt:lpstr>rho</vt:lpstr>
      <vt:lpstr>rrs</vt:lpstr>
      <vt:lpstr>sCDOM</vt:lpstr>
      <vt:lpstr>sNAP</vt:lpstr>
      <vt:lpstr>Theta0</vt:lpstr>
      <vt:lpstr>TSS</vt:lpstr>
      <vt:lpstr>u</vt:lpstr>
      <vt:lpstr>Year</vt:lpstr>
      <vt:lpstr>z</vt:lpstr>
      <vt:lpstr>ZSD</vt:lpstr>
    </vt:vector>
  </TitlesOfParts>
  <Company>SERC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 Gallegos</dc:creator>
  <cp:lastModifiedBy>R Johansson</cp:lastModifiedBy>
  <dcterms:created xsi:type="dcterms:W3CDTF">2008-03-26T15:49:42Z</dcterms:created>
  <dcterms:modified xsi:type="dcterms:W3CDTF">2026-04-23T13:48:10Z</dcterms:modified>
</cp:coreProperties>
</file>